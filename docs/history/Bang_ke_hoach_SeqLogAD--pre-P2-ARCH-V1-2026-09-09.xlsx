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" sheetId="1" r:id="rId5"/>
    <sheet state="visible" name="Roadmap" sheetId="2" r:id="rId6"/>
    <sheet state="visible" name="Task Register" sheetId="3" r:id="rId7"/>
    <sheet state="visible" name="Gates" sheetId="4" r:id="rId8"/>
    <sheet state="visible" name="Traceability" sheetId="5" r:id="rId9"/>
    <sheet state="visible" name="Research Sources" sheetId="6" r:id="rId10"/>
    <sheet state="visible" name="Task Playbooks" sheetId="7" r:id="rId11"/>
  </sheets>
  <definedNames/>
  <calcPr/>
</workbook>
</file>

<file path=xl/sharedStrings.xml><?xml version="1.0" encoding="utf-8"?>
<sst xmlns="http://schemas.openxmlformats.org/spreadsheetml/2006/main" count="843" uniqueCount="560">
  <si>
    <t>DOMAIN-ADAPTIVE FUSION — EXECUTIVE PLAN</t>
  </si>
  <si>
    <t>TASK REGISTER — DOMAIN-ADAPTIVE FUSION</t>
  </si>
  <si>
    <t>UNLOCK GATES</t>
  </si>
  <si>
    <t>4-PHASE ROADMAP</t>
  </si>
  <si>
    <t>Zero-label cross-system log anomaly detection | HDFS/BGL are source domains, not the final target.</t>
  </si>
  <si>
    <t>Each phase has an explicit exit gate. Empirical runs and final conclusions remain researcher-owned.</t>
  </si>
  <si>
    <t>A gate can be marked passed only with named evidence. Gates protect target-label isolation and credible cross-system claims.</t>
  </si>
  <si>
    <t>Total micro-tasks</t>
  </si>
  <si>
    <t>Phase</t>
  </si>
  <si>
    <t>Gate</t>
  </si>
  <si>
    <t>32 micro-tasks | status cells are editable; evidence must be traceable before a task is closed.</t>
  </si>
  <si>
    <t>Task ID</t>
  </si>
  <si>
    <t>Timing</t>
  </si>
  <si>
    <t>Objective</t>
  </si>
  <si>
    <t>Workstream</t>
  </si>
  <si>
    <t>Decision</t>
  </si>
  <si>
    <t>Micro-task count</t>
  </si>
  <si>
    <t>Class</t>
  </si>
  <si>
    <t>Micro-task</t>
  </si>
  <si>
    <t>Key outputs</t>
  </si>
  <si>
    <t>Output</t>
  </si>
  <si>
    <t>Required evidence</t>
  </si>
  <si>
    <t>Exit gate</t>
  </si>
  <si>
    <t>Owner</t>
  </si>
  <si>
    <t>Main risk</t>
  </si>
  <si>
    <t>Forbidden action before pass</t>
  </si>
  <si>
    <t>Status</t>
  </si>
  <si>
    <t>Dependency</t>
  </si>
  <si>
    <t>Depends on</t>
  </si>
  <si>
    <t>Definition of Done</t>
  </si>
  <si>
    <t>Evidence link / note</t>
  </si>
  <si>
    <t>P1 · Data &amp; Protocol</t>
  </si>
  <si>
    <t>P1.1</t>
  </si>
  <si>
    <t>G0</t>
  </si>
  <si>
    <t>W1–W2</t>
  </si>
  <si>
    <t>Create multi-source schema, target-buffer contract and leave-one-architecture-out evaluation.</t>
  </si>
  <si>
    <t>Protocol Ready</t>
  </si>
  <si>
    <t>At least 3 source architectures; schema, LODO split and label-isolation audit</t>
  </si>
  <si>
    <t>Representation or target adaptation training</t>
  </si>
  <si>
    <t>Research scope</t>
  </si>
  <si>
    <t>Researcher</t>
  </si>
  <si>
    <t>P1.1–P1.8</t>
  </si>
  <si>
    <t>8</t>
  </si>
  <si>
    <t>Must</t>
  </si>
  <si>
    <t>Registry, unified schema, split manifests, leakage audit</t>
  </si>
  <si>
    <t>G0: Protocol Ready</t>
  </si>
  <si>
    <t>Passed</t>
  </si>
  <si>
    <t>Target labels or mixed-domain leakage</t>
  </si>
  <si>
    <t>Chốt định nghĩa source architecture, unseen target và zero-label target adaptation</t>
  </si>
  <si>
    <t>AI + Researcher</t>
  </si>
  <si>
    <t>Scope memo</t>
  </si>
  <si>
    <t>Người nghiên cứu</t>
  </si>
  <si>
    <t>Week 1</t>
  </si>
  <si>
    <t>Finished</t>
  </si>
  <si>
    <t>—</t>
  </si>
  <si>
    <t>Không còn claim chỉ HDFS/BGL; target labels bị cấm trong adaptation.</t>
  </si>
  <si>
    <t>Must tasks</t>
  </si>
  <si>
    <t>G1</t>
  </si>
  <si>
    <t>Adaptation Ready</t>
  </si>
  <si>
    <t>Normal burn-in assumption, contamination bound, local-memory/calibration tests</t>
  </si>
  <si>
    <t>Gates</t>
  </si>
  <si>
    <t>Use target labels or silent recalibration</t>
  </si>
  <si>
    <t>P2 · Representation &amp; Experts</t>
  </si>
  <si>
    <t>P1.6; P3.2–P3.5</t>
  </si>
  <si>
    <t>Not passed</t>
  </si>
  <si>
    <t>W3–W4</t>
  </si>
  <si>
    <t>G2</t>
  </si>
  <si>
    <t>Done</t>
  </si>
  <si>
    <t>Expert Diversity</t>
  </si>
  <si>
    <t>Build Llama base with two distinct LoRA adapters and a GTAT expert.</t>
  </si>
  <si>
    <t>Held-out source results, disagreement/double-fault and evidence contract</t>
  </si>
  <si>
    <t>Adaptive learned fusion</t>
  </si>
  <si>
    <t>Current state</t>
  </si>
  <si>
    <t>P2.1–P2.8</t>
  </si>
  <si>
    <t>PLANNED — no empirical result</t>
  </si>
  <si>
    <t>G3</t>
  </si>
  <si>
    <t>Fusion Justified</t>
  </si>
  <si>
    <t>MLP gate vs single/equal/Transformer/IF baselines; FAR/stability checks</t>
  </si>
  <si>
    <t>Final claim that fusion is superior</t>
  </si>
  <si>
    <t>P3.6–P3.8</t>
  </si>
  <si>
    <t>G4</t>
  </si>
  <si>
    <t>Final Evaluation</t>
  </si>
  <si>
    <t>Data/model/buffer/gate/threshold freeze and reproducibility receipt</t>
  </si>
  <si>
    <t>Post-hoc tuning or universal-generalisation claim</t>
  </si>
  <si>
    <t>P4.1–P4.7</t>
  </si>
  <si>
    <t>P1.2</t>
  </si>
  <si>
    <t>Mục tiêu: model học knowledge đa kiến trúc nguồn, tự hiệu chỉnh bằng target normal buffer không nhãn, sau đó phát hiện anomaly với confidence/evidence và khả năng abstain.</t>
  </si>
  <si>
    <t>Dataset portfolio</t>
  </si>
  <si>
    <t>Lập inventory ít nhất 3 source architectures và 1 held-out target mỗi fold</t>
  </si>
  <si>
    <t>Dataset registry</t>
  </si>
  <si>
    <t>AI + Người nghiên cứu</t>
  </si>
  <si>
    <t>Mỗi dataset có licence, format, chronology và label availability rõ ràng.</t>
  </si>
  <si>
    <t>Component</t>
  </si>
  <si>
    <t>Role in final model</t>
  </si>
  <si>
    <t>Target-label policy</t>
  </si>
  <si>
    <t>Success evidence</t>
  </si>
  <si>
    <t>Risk / guardrail</t>
  </si>
  <si>
    <t>P1.3</t>
  </si>
  <si>
    <t>LoRA-Semantic, LoRA-Sequence, GTAT, evidence contract</t>
  </si>
  <si>
    <t>Canonical schema</t>
  </si>
  <si>
    <t>G2: Expert Diversity Ready</t>
  </si>
  <si>
    <t>Adapters share weights or experts learn same shortcut</t>
  </si>
  <si>
    <t>Thiết kế schema chung: timestamp, level, service, component, message, session/trace optional</t>
  </si>
  <si>
    <t>LOG-UNIFY-001</t>
  </si>
  <si>
    <t>AI</t>
  </si>
  <si>
    <t>Planned</t>
  </si>
  <si>
    <t>Missing fields/format variation có handling contract.</t>
  </si>
  <si>
    <t>Canonical view</t>
  </si>
  <si>
    <t>Mask fields; retain raw text + optional template</t>
  </si>
  <si>
    <t>P1.4</t>
  </si>
  <si>
    <t>Never used</t>
  </si>
  <si>
    <t>Normalisation</t>
  </si>
  <si>
    <t>Schema and leakage audit pass</t>
  </si>
  <si>
    <t>Mask ID/IP/UUID/numbers; giữ raw message và optional Drain3 template</t>
  </si>
  <si>
    <t>Do not lose raw semantics</t>
  </si>
  <si>
    <t>Normaliser</t>
  </si>
  <si>
    <t>P1</t>
  </si>
  <si>
    <t>Raw semantic text không bị mất; transform deterministic.</t>
  </si>
  <si>
    <t>P3 · Adaptation &amp; Fusion</t>
  </si>
  <si>
    <t>P1.5</t>
  </si>
  <si>
    <t>Split</t>
  </si>
  <si>
    <t>Thiết kế chronological leave-one-architecture-out source/target folds</t>
  </si>
  <si>
    <t>CS-SPLIT-001</t>
  </si>
  <si>
    <t>Semantic expert</t>
  </si>
  <si>
    <t>W5–W6</t>
  </si>
  <si>
    <t>Llama-3.1-8B + LoRA-Semantic</t>
  </si>
  <si>
    <t>Target architecture không xuất hiện trong source train của fold.</t>
  </si>
  <si>
    <t>Held-out target semantic AP/evidence</t>
  </si>
  <si>
    <t>Calibrate target normal buffer; validate MLP 8→32→16→3 gate without target labels.</t>
  </si>
  <si>
    <t>Vocabulary/format drift</t>
  </si>
  <si>
    <t>P1.6</t>
  </si>
  <si>
    <t>P2</t>
  </si>
  <si>
    <t>Target buffer</t>
  </si>
  <si>
    <t>Định nghĩa target normal burn-in, contamination bound và readiness checks</t>
  </si>
  <si>
    <t>ADAPT-INPUT-001</t>
  </si>
  <si>
    <t>Target memory, drift/uncertainty, fusion gate, explanations</t>
  </si>
  <si>
    <t>Week 2</t>
  </si>
  <si>
    <t>G3: Fusion Justified</t>
  </si>
  <si>
    <t>P1.3; P1.5</t>
  </si>
  <si>
    <t>Gate overfits source domains</t>
  </si>
  <si>
    <t>Không dùng target labels; buffer version/hash/provenance đầy đủ.</t>
  </si>
  <si>
    <t>P1.7</t>
  </si>
  <si>
    <t>Isolation audit</t>
  </si>
  <si>
    <t>Audit chronology, source-target leakage, duplicate và label isolation</t>
  </si>
  <si>
    <t>LEAK-CS-001</t>
  </si>
  <si>
    <t>P1.4; P1.5; P1.6</t>
  </si>
  <si>
    <t>Audit pass trước representation training; labels chỉ ở evaluation boundary.</t>
  </si>
  <si>
    <t>P1.8</t>
  </si>
  <si>
    <t>Freeze</t>
  </si>
  <si>
    <t>Freeze data/schema/fold config và reproducible commands</t>
  </si>
  <si>
    <t>G0 receipt</t>
  </si>
  <si>
    <t>P4 · Cross-System Validation</t>
  </si>
  <si>
    <t>G0 Protocol Ready được ký; no empirical claims yet.</t>
  </si>
  <si>
    <t>P2.1</t>
  </si>
  <si>
    <t>Shared LLM base</t>
  </si>
  <si>
    <t>Freeze Llama-3.1-8B base, tokenizer, licence và GPU budget</t>
  </si>
  <si>
    <t>LLM-BASE-001</t>
  </si>
  <si>
    <t>Sequence expert</t>
  </si>
  <si>
    <t>W7–W8</t>
  </si>
  <si>
    <t>Evaluate held-out architectures; test ablation, cold start and contamination; report evidence.</t>
  </si>
  <si>
    <t>Week 3</t>
  </si>
  <si>
    <t>Llama base version/hash fixed trước adapter training.</t>
  </si>
  <si>
    <t>LOAO results, robustness, reproducibility bundle, report</t>
  </si>
  <si>
    <t>Not started</t>
  </si>
  <si>
    <t>G4: Final Evaluation</t>
  </si>
  <si>
    <t>Same Llama base + separate LoRA-Sequence</t>
  </si>
  <si>
    <t>Overclaiming beyond evaluated domains</t>
  </si>
  <si>
    <t>Researcher + AI</t>
  </si>
  <si>
    <t>P2.2</t>
  </si>
  <si>
    <t>Per-target next-log evidence</t>
  </si>
  <si>
    <t>Sparse/new event sequences</t>
  </si>
  <si>
    <t>LoRA-Semantic</t>
  </si>
  <si>
    <t>Train LoRA-Semantic riêng cho masked/raw-log normal adaptation</t>
  </si>
  <si>
    <t>LORA-SEM-001</t>
  </si>
  <si>
    <t>Adapter A có checkpoint/hash riêng; không share weight với Adapter B.</t>
  </si>
  <si>
    <t>P2.3</t>
  </si>
  <si>
    <t>Domain invariance</t>
  </si>
  <si>
    <t>Should</t>
  </si>
  <si>
    <t>Structural expert</t>
  </si>
  <si>
    <t>Cài contrastive alignment; đánh giá domain-adversarial branch nếu justified</t>
  </si>
  <si>
    <t>REP-DG-001</t>
  </si>
  <si>
    <t>Temporal Graph Transformer (GTAT)</t>
  </si>
  <si>
    <t>Representation không dùng target labels; ablation flag sẵn sàng.</t>
  </si>
  <si>
    <t>FAR, drift and graph coverage</t>
  </si>
  <si>
    <t>Missing topology metadata</t>
  </si>
  <si>
    <t>P2.4</t>
  </si>
  <si>
    <t>Generate semantic score/uncertainty/token evidence từ Llama + LoRA-Semantic</t>
  </si>
  <si>
    <t>EXP-SEM-001</t>
  </si>
  <si>
    <t>Adaptive gate</t>
  </si>
  <si>
    <t>Weights experts by drift/uncertainty/coverage</t>
  </si>
  <si>
    <t>Better stability than equal weights</t>
  </si>
  <si>
    <t>Overfit to source architectures</t>
  </si>
  <si>
    <t>P3</t>
  </si>
  <si>
    <t>Score direction/evidence schema pass; Adapter A provenance complete.</t>
  </si>
  <si>
    <t>Target adaptation</t>
  </si>
  <si>
    <t>Learns normal baseline from burn-in buffer</t>
  </si>
  <si>
    <t>P2.5</t>
  </si>
  <si>
    <t>Unlabeled buffer only</t>
  </si>
  <si>
    <t>Calibration and contamination robustness</t>
  </si>
  <si>
    <t>LoRA-Sequence</t>
  </si>
  <si>
    <t>Insufficient/contaminated buffer</t>
  </si>
  <si>
    <t>Train LoRA-Sequence riêng trên Llama base cho next-log prediction</t>
  </si>
  <si>
    <t>LORA-SEQ-001</t>
  </si>
  <si>
    <t>P3–P4</t>
  </si>
  <si>
    <t>Week 4</t>
  </si>
  <si>
    <t>Adapter B có checkpoint/hash riêng; không share weight với Adapter A.</t>
  </si>
  <si>
    <t>P2.6</t>
  </si>
  <si>
    <t>Generate next-log anomaly score/context evidence từ Llama + LoRA-Sequence</t>
  </si>
  <si>
    <t>EXP-SEQ-001</t>
  </si>
  <si>
    <t>Ordered context partitioned by architecture/time; no target labels.</t>
  </si>
  <si>
    <t>P2.7</t>
  </si>
  <si>
    <t>GTAT expert</t>
  </si>
  <si>
    <t>Build Temporal Graph Transformer trên event-service-component-time graph</t>
  </si>
  <si>
    <t>EXP-GTAT-001</t>
  </si>
  <si>
    <t>Graph schema/coverage defined; missing topology yields low coverage, not fake score.</t>
  </si>
  <si>
    <t>P2.8</t>
  </si>
  <si>
    <t>Evidence contract</t>
  </si>
  <si>
    <t>Chuẩn hoá output score, uncertainty, coverage, localisation cho Llama-A, Llama-B và GTAT</t>
  </si>
  <si>
    <t>EVID-CS-001</t>
  </si>
  <si>
    <t>P2.4; P2.6; P2.7</t>
  </si>
  <si>
    <t>Common ID/version provenance; adapter identity and GTAT coverage pass.</t>
  </si>
  <si>
    <t>P3.1</t>
  </si>
  <si>
    <t>Held-out check</t>
  </si>
  <si>
    <t>Chạy source-held-out architecture smoke evaluation, không tune target labels</t>
  </si>
  <si>
    <t>G2 prep</t>
  </si>
  <si>
    <t>Week 5</t>
  </si>
  <si>
    <t>Llama-A, Llama-B và GTAT có result artifact/diversity diagnostics.</t>
  </si>
  <si>
    <t>Waiting researcher</t>
  </si>
  <si>
    <t>P3.2</t>
  </si>
  <si>
    <t>Target memory</t>
  </si>
  <si>
    <t>Xây normal prototype/memory và graph/sequence statistics từ target burn-in</t>
  </si>
  <si>
    <t>ADAPT-MEM-001</t>
  </si>
  <si>
    <t>P1.6; P2.8</t>
  </si>
  <si>
    <t>Memory only uses approved unlabeled buffer; hash/version recorded.</t>
  </si>
  <si>
    <t>P3.3</t>
  </si>
  <si>
    <t>Calibration</t>
  </si>
  <si>
    <t>Calibrate Llama-A, Llama-B và GTAT score bằng target-normal quantile</t>
  </si>
  <si>
    <t>CAL-CS-001</t>
  </si>
  <si>
    <t>Score scales comparable without target labels.</t>
  </si>
  <si>
    <t>P3.4</t>
  </si>
  <si>
    <t>Drift</t>
  </si>
  <si>
    <t>Đo domain drift, buffer coverage và GTAT topology coverage</t>
  </si>
  <si>
    <t>DRIFT-CS-001</t>
  </si>
  <si>
    <t>Drift metric has baseline and no silent recalibration.</t>
  </si>
  <si>
    <t>P3.5</t>
  </si>
  <si>
    <t>Uncertainty</t>
  </si>
  <si>
    <t>Định nghĩa confidence/uncertainty cho từng expert và abstain criterion</t>
  </si>
  <si>
    <t>UNC-CS-001</t>
  </si>
  <si>
    <t>P2.8; P3.3</t>
  </si>
  <si>
    <t>Unknown/review is first-class output, not forced anomaly label.</t>
  </si>
  <si>
    <t>P3.6</t>
  </si>
  <si>
    <t>Fusion baseline</t>
  </si>
  <si>
    <t>Cài strongest-single, Transformer Encoder và Isolation Forest/equal-weight comparator</t>
  </si>
  <si>
    <t>FUS-BASE-001</t>
  </si>
  <si>
    <t>Week 6</t>
  </si>
  <si>
    <t>Không learned target weights; old models remain explicit baselines.</t>
  </si>
  <si>
    <t>P3.7</t>
  </si>
  <si>
    <t>Conditional</t>
  </si>
  <si>
    <t>Meta-train MLP 8→32→16→3 Softmax on leave-one-architecture-out episodes</t>
  </si>
  <si>
    <t>FUS-GATE-001</t>
  </si>
  <si>
    <t>P3.4; P3.5; P3.6</t>
  </si>
  <si>
    <t>Gate uses drift/uncertainty/context; not target labels.</t>
  </si>
  <si>
    <t>P3.8</t>
  </si>
  <si>
    <t>Complementarity + explanation</t>
  </si>
  <si>
    <t>Kiểm tra diversity và xuất top expert, weight, evidence, localisation/abstain reason</t>
  </si>
  <si>
    <t>G3 evidence + EXPL-CS-001</t>
  </si>
  <si>
    <t>P3.1; P3.6; P3.7</t>
  </si>
  <si>
    <t>Gate chỉ mở nếu diversity/stability evidence đạt; alert explanation contract pass.</t>
  </si>
  <si>
    <t>P4.1</t>
  </si>
  <si>
    <t>LOAO protocol</t>
  </si>
  <si>
    <t>Freeze held-out architecture folds, target buffer và selection policy</t>
  </si>
  <si>
    <t>G4 prep</t>
  </si>
  <si>
    <t>Week 7</t>
  </si>
  <si>
    <t>No random mixed-domain split; no post-hoc target tuning.</t>
  </si>
  <si>
    <t>P4.2</t>
  </si>
  <si>
    <t>Core evaluation</t>
  </si>
  <si>
    <t>Run chronological target evaluation for every held-out architecture</t>
  </si>
  <si>
    <t>EVAL-CS-001</t>
  </si>
  <si>
    <t>Per-target AP/PR-AUC, AUROC, FAR, TTD, latency and CI traceable.</t>
  </si>
  <si>
    <t>P4.3</t>
  </si>
  <si>
    <t>Ablation</t>
  </si>
  <si>
    <t>Remove LoRA-A, LoRA-B, GTAT, adaptation and gate one at a time</t>
  </si>
  <si>
    <t>ABL-CS-001</t>
  </si>
  <si>
    <t>Contribution claims follow paired/cluster uncertainty.</t>
  </si>
  <si>
    <t>P4.4</t>
  </si>
  <si>
    <t>Cold start</t>
  </si>
  <si>
    <t>Stress test short burn-in and previously unseen template/service</t>
  </si>
  <si>
    <t>ROB-COLD-001</t>
  </si>
  <si>
    <t>Report readiness threshold and failure modes.</t>
  </si>
  <si>
    <t>P4.5</t>
  </si>
  <si>
    <t>Contamination</t>
  </si>
  <si>
    <t>Stress test contaminated normal buffer and controlled drift</t>
  </si>
  <si>
    <t>ROB-CONTAM-001</t>
  </si>
  <si>
    <t>Week 8</t>
  </si>
  <si>
    <t>Quantify degradation; no hidden target labels.</t>
  </si>
  <si>
    <t>P4.6</t>
  </si>
  <si>
    <t>Reliability</t>
  </si>
  <si>
    <t>Audit dataset/model/gate/buffer hashes, seeds, commands and latency</t>
  </si>
  <si>
    <t>REPRO-CS-001</t>
  </si>
  <si>
    <t>P4.2; P4.3; P4.4; P4.5</t>
  </si>
  <si>
    <t>All reported metrics trace to immutable artifacts.</t>
  </si>
  <si>
    <t>P4.7</t>
  </si>
  <si>
    <t>Claims</t>
  </si>
  <si>
    <t>Build claim-to-evidence map and document limits/unknown cases</t>
  </si>
  <si>
    <t>CLAIM-CS-001</t>
  </si>
  <si>
    <t>No universal-generalisation claim beyond evaluated domains.</t>
  </si>
  <si>
    <t>P4.8</t>
  </si>
  <si>
    <t>Final report</t>
  </si>
  <si>
    <t>Write thesis/report and handoff reproducible model package</t>
  </si>
  <si>
    <t>REPORT-CS-001</t>
  </si>
  <si>
    <t>Architecture, protocol, results, limitations and source links complete.</t>
  </si>
  <si>
    <t>TRACEABILITY — RESEARCH QUESTIONS TO EVIDENCE</t>
  </si>
  <si>
    <t>Every result must identify the target architecture, target-buffer version, model/gate version and immutable evaluation run.</t>
  </si>
  <si>
    <t>RQ</t>
  </si>
  <si>
    <t>Question</t>
  </si>
  <si>
    <t>Primary metric</t>
  </si>
  <si>
    <t>Unit of evaluation</t>
  </si>
  <si>
    <t>Task IDs</t>
  </si>
  <si>
    <t>Claim allowed</t>
  </si>
  <si>
    <t>Claim forbidden</t>
  </si>
  <si>
    <t>RQ1</t>
  </si>
  <si>
    <t>Can a representation generalise across log syntaxes?</t>
  </si>
  <si>
    <t>Per-target AP/PR-AUC + CI</t>
  </si>
  <si>
    <t>held-out architecture</t>
  </si>
  <si>
    <t>P1–P2</t>
  </si>
  <si>
    <t>LOAO splits + expert runs</t>
  </si>
  <si>
    <t>Generalises across evaluated targets</t>
  </si>
  <si>
    <t>Universal generalisation</t>
  </si>
  <si>
    <t>RQ2</t>
  </si>
  <si>
    <t>Can target normal-only adaptation calibrate unseen systems?</t>
  </si>
  <si>
    <t>FAR, calibration, abstention</t>
  </si>
  <si>
    <t>target normal buffer + later logs</t>
  </si>
  <si>
    <t>buffer hash + calibration run</t>
  </si>
  <si>
    <t>Adapts without target labels</t>
  </si>
  <si>
    <t>Works before sufficient normal buffer</t>
  </si>
  <si>
    <t>RQ3</t>
  </si>
  <si>
    <t>Does adaptive fusion add value?</t>
  </si>
  <si>
    <t>AP/FAR vs Llama/GTAT/single/equal/legacy baselines</t>
  </si>
  <si>
    <t>architecture × fold</t>
  </si>
  <si>
    <t>P3.6–P3.8; P4.3</t>
  </si>
  <si>
    <t>paired result + ablation</t>
  </si>
  <si>
    <t>Stable gain on evaluated domains</t>
  </si>
  <si>
    <t>Gain from arbitrary score sum</t>
  </si>
  <si>
    <t>RQ4</t>
  </si>
  <si>
    <t>What happens under drift/cold start/contamination?</t>
  </si>
  <si>
    <t>degradation + latency</t>
  </si>
  <si>
    <t>robustness scenario</t>
  </si>
  <si>
    <t>P4.4–P4.5</t>
  </si>
  <si>
    <t>scenario bundles</t>
  </si>
  <si>
    <t>Known operating envelope</t>
  </si>
  <si>
    <t>Robust to all drift</t>
  </si>
  <si>
    <t>RQ5</t>
  </si>
  <si>
    <t>Are conclusions reproducible?</t>
  </si>
  <si>
    <t>hash/config/seed audit</t>
  </si>
  <si>
    <t>final bundle</t>
  </si>
  <si>
    <t>P4.6–P4.8</t>
  </si>
  <si>
    <t>repro + claim map</t>
  </si>
  <si>
    <t>Traceable conclusion</t>
  </si>
  <si>
    <t>Unbacked metric/claim</t>
  </si>
  <si>
    <t>RESEARCH SOURCES — VERIFIED CITATION KEYS</t>
  </si>
  <si>
    <t>TASK PLAYBOOKS — CÁCH LÀM &amp; DEFINITION OF DONE</t>
  </si>
  <si>
    <t>Use S# tags in Task Playbooks. These sources justify design choices only; none is evidence that the proposed model already works.</t>
  </si>
  <si>
    <t>Mỗi dòng là protocol thực hiện dự kiến, bằng chứng cần lưu và điều kiện đóng task. Tag S# trỏ tới sheet Research Sources; trích dẫn hướng dẫn thiết kế, không phải kết quả thực nghiệm.</t>
  </si>
  <si>
    <t>Key</t>
  </si>
  <si>
    <t>Paper / year</t>
  </si>
  <si>
    <t>Type</t>
  </si>
  <si>
    <t>Contribution used in plan</t>
  </si>
  <si>
    <t>Cách làm có kiểm soát</t>
  </si>
  <si>
    <t>Use boundary</t>
  </si>
  <si>
    <t>URL / DOI</t>
  </si>
  <si>
    <t>Evidence bắt buộc</t>
  </si>
  <si>
    <t>Definition of Done có thể kiểm chứng</t>
  </si>
  <si>
    <t>Trích dẫn</t>
  </si>
  <si>
    <t>S1</t>
  </si>
  <si>
    <t>Loghub — Zhu et al. (2020)</t>
  </si>
  <si>
    <t>arXiv / Loghub</t>
  </si>
  <si>
    <t>1) Viết scope memo có định nghĩa “architecture” theo hệ thống/nguồn log, không theo EventID.
2) Vẽ một fold: source architectures → target architecture → target buffer → evaluation.
3) Liệt kê trường dữ liệu bị cấm ở từng bước (đặc biệt target labels).</t>
  </si>
  <si>
    <t>Dataset inventory, provenance, architecture diversity</t>
  </si>
  <si>
    <t>Dataset availability only; do not infer labels or licences without checking registry</t>
  </si>
  <si>
    <t>Scope memo, sơ đồ fold, danh sách trường bị cấm, người duyệt.</t>
  </si>
  <si>
    <t>https://arxiv.org/abs/2008.06448</t>
  </si>
  <si>
    <t>Memo nêu rõ target chưa thấy; adaptation không đọc target label; sơ đồ và policy được reviewer ký. Không tuyên bố hiệu năng.</t>
  </si>
  <si>
    <t>Verified</t>
  </si>
  <si>
    <t>S3; S4</t>
  </si>
  <si>
    <t>S2</t>
  </si>
  <si>
    <t>1) Chọn tối thiểu 3 architecture khác họ hệ thống khi khả thi.
2) Với từng bộ dữ liệu, ghi URL/giấy phép, số dòng, timestamp, nhãn, đơn vị session và SHA-256.
3) Chỉ đưa dữ liệu có provenance vào registry.</t>
  </si>
  <si>
    <t>dataset_registry.csv + LICENSE/URL + checksum + metadata snapshot.</t>
  </si>
  <si>
    <t>Drain — He et al. (2017)</t>
  </si>
  <si>
    <t>Mọi dataset có provenance, khả năng dùng nhãn và phạm vi thời gian; mỗi fold có target held-out xác định trước.</t>
  </si>
  <si>
    <t>IEEE ICWS</t>
  </si>
  <si>
    <t>Optional parser/template field; retain raw logs</t>
  </si>
  <si>
    <t>S1; S3; S4</t>
  </si>
  <si>
    <t>Parser support only; not an anomaly model</t>
  </si>
  <si>
    <t>https://doi.org/10.1109/ICWS.2017.13</t>
  </si>
  <si>
    <t>1) Lập data dictionary cho timestamp, level, service, component, raw_message, session/trace và missingness.
2) Chuyển từng nguồn vào schema; giữ source_row_id bất biến.
3) Viết unit test cho timezone, null, parse failure và type.</t>
  </si>
  <si>
    <t>LOG-UNIFY-001, mapping per source, test report.</t>
  </si>
  <si>
    <t>Schema versioned; 100% trường required/nullable có quy tắc; lỗi parse được đếm và không bị im lặng loại bỏ.</t>
  </si>
  <si>
    <t>S3</t>
  </si>
  <si>
    <t>LogDLR — Liu et al. (2025)</t>
  </si>
  <si>
    <t>S1; S6</t>
  </si>
  <si>
    <t>IEEE TDSC</t>
  </si>
  <si>
    <t>Cross-system, domain-invariant representation, adversarial branch</t>
  </si>
  <si>
    <t>1) Giữ raw_message bất biến; tạo normalized_message ở cột mới.
2) Mask ID/IP/UUID/số bằng rule versioned, có ngoại lệ để không xóa token nghiệp vụ.
3) Chạy transform hai lần và so hash; Drain3 template chỉ là trường phụ trợ.</t>
  </si>
  <si>
    <t>Architecture inspiration; no performance transferred to this project</t>
  </si>
  <si>
    <t>Rule file, golden cases, before/after sample, deterministic hash.</t>
  </si>
  <si>
    <t>https://ieeexplore.ieee.org/abstract/document/10910212/</t>
  </si>
  <si>
    <t>Raw text còn truy xuất được; transform deterministic; tỷ lệ match/rơi log báo cáo; template không thay raw text.</t>
  </si>
  <si>
    <t>S2; S6</t>
  </si>
  <si>
    <t>S4</t>
  </si>
  <si>
    <t>ZeroLog — Zhao et al. (2025)</t>
  </si>
  <si>
    <t>arXiv preprint</t>
  </si>
  <si>
    <t>1) Chọn target architecture trước khi train và tách toàn bộ target khỏi source.
2) Trong mỗi architecture, split theo thời gian: train/normal-buffer/eval theo chronology.
3) Xuất manifest gồm IDs, time boundary, hashes và seed.</t>
  </si>
  <si>
    <t>CS-SPLIT-001 manifests, overlap scan, fold diagram.</t>
  </si>
  <si>
    <t>Zero-label target protocol and meta-learning direction</t>
  </si>
  <si>
    <t>Không có target architecture trong source train; không có thời điểm evaluation đi vào train/buffer; manifest tái tạo cùng split.</t>
  </si>
  <si>
    <t>S3; S4; S6</t>
  </si>
  <si>
    <t>Preprint; use as research design reference, not established fact</t>
  </si>
  <si>
    <t>https://arxiv.org/abs/2511.05862</t>
  </si>
  <si>
    <t>1) Định nghĩa burn-in duration, sampling rule, contamination assumption/bound và readiness minima trước khi xem kết quả.
2) Lưu hash và provenance buffer.
3) Gắn cờ “not ready/unknown” nếu thiếu coverage; không suy từ target labels.</t>
  </si>
  <si>
    <t>ADAPT-INPUT-001, buffer manifest, readiness checklist.</t>
  </si>
  <si>
    <t>Buffer không chứa cột/lookup target label; assumptions, hash, duration và rejection rule có chữ ký researcher.</t>
  </si>
  <si>
    <t>S4; S9</t>
  </si>
  <si>
    <t>S5</t>
  </si>
  <si>
    <t>1) Kiểm tra duplicate bằng hash raw/normalized; kiểm tra session/time overlap.
2) Quét code/config bảo đảm labels chỉ mở ở evaluation boundary.
3) Lập danh sách exception có lý do và người phê duyệt.</t>
  </si>
  <si>
    <t>LEAK-CS-001 with duplicate, overlap and label-access reports.</t>
  </si>
  <si>
    <t>LogLLaMA — Yang &amp; Harris (2025)</t>
  </si>
  <si>
    <t>Leakage audit pass hoặc exception được resolve; không train/tune/calibrate bằng target label; report tái chạy được từ manifest.</t>
  </si>
  <si>
    <t>LLaMA direction and next-log modeling</t>
  </si>
  <si>
    <t>1) Khóa schema, normalizer, dataset registry, split manifest và env lockfile.
2) Ghi command tái tạo từng artifact và SHA-256.
3) Gate review chỉ xác nhận protocol, không đánh giá model.</t>
  </si>
  <si>
    <t>Uses LLaMA2; does not validate this project’s Llama-3.1 design</t>
  </si>
  <si>
    <t>G0 receipt, version manifest, reproducible command list.</t>
  </si>
  <si>
    <t>G0 được ký; mọi input/config hashable; các task representation/adaptation chưa được chạy trước G0.</t>
  </si>
  <si>
    <t>https://arxiv.org/abs/2503.14849</t>
  </si>
  <si>
    <t>S1; S4</t>
  </si>
  <si>
    <t>1) Pin đúng Meta Llama-3.1-8B model revision, tokenizer và license.
2) Ghi GPU, precision, context length, seed và budget công bằng cho baselines.
3) Smoke-load model, tokenizer và license check trước train.</t>
  </si>
  <si>
    <t>LLM-BASE-001, model/tokenizer revision, license receipt, budget sheet.</t>
  </si>
  <si>
    <t>S6</t>
  </si>
  <si>
    <t>Base revision/hash và tokenizer cố định; license được kiểm; smoke test pass; không đổi base giữa adapter experiments.</t>
  </si>
  <si>
    <t>S11; S7</t>
  </si>
  <si>
    <t>LogGT — Wang et al. (2024)</t>
  </si>
  <si>
    <t>Expert Systems with Applications</t>
  </si>
  <si>
    <t>1) Tạo LoRA-Semantic checkpoint riêng trên partition được phép.
2) Chọn objective masked/raw-log semantics; log hyperparameters, seed, train data hashes.
3) Lưu adapter, adapter config và evaluation-free training log.</t>
  </si>
  <si>
    <t>LORA-SEM-001 checkpoint, adapter_config.json, training manifest.</t>
  </si>
  <si>
    <t>Adapter A có hash riêng; base frozen theo P2.1; không reference/checkpoint-copy Adapter B; provenance đầy đủ.</t>
  </si>
  <si>
    <t>Event/component/time graph and GTAT direction</t>
  </si>
  <si>
    <t>S7; S5; S11</t>
  </si>
  <si>
    <t>Architecture reference; results are not copied into this project</t>
  </si>
  <si>
    <t>1) Bắt đầu bằng contrastive alignment trên source partitions; log pair-construction rule.
2) Chỉ bật DANN branch nếu predeclared diagnostic cho thấy domain separability và ablation budget đủ.
3) So sánh nhánh on/off trong held-out source, không đọc target labels.</t>
  </si>
  <si>
    <t>https://doi.org/10.1016/j.eswa.2024.124082</t>
  </si>
  <si>
    <t>REP-DG-001, pair manifest, diagnostic and ablation config.</t>
  </si>
  <si>
    <t>Không dùng target label; lựa chọn branch có rationale/diagnostic; toggle ablation reproducible và không ghi claim khi chưa có result.</t>
  </si>
  <si>
    <t>S3; S8; S4</t>
  </si>
  <si>
    <t>1) Chuẩn hóa semantic inference: input → score direction → uncertainty → token/span evidence.
2) Test invariant: message giống nhau cho output giống nhau khi seed fixed.
3) Gắn base/adapter/version vào từng prediction.</t>
  </si>
  <si>
    <t>S7</t>
  </si>
  <si>
    <t>EXP-SEM-001 API schema, golden tests, sample evidence artifact.</t>
  </si>
  <si>
    <t>Score direction documented; output validates schema; evidence trỏ được raw record; provenance Adapter A xuất hiện ở mọi row.</t>
  </si>
  <si>
    <t>LoRA — Hu et al. (2021)</t>
  </si>
  <si>
    <t>S5; S7</t>
  </si>
  <si>
    <t>arXiv</t>
  </si>
  <si>
    <t>1) Tạo LoRA-Sequence checkpoint khác Adapter A; dùng ordered log contexts của partition được phép.
2) Objective là next-log prediction; window, truncation và boundary architecture/time phải fixed.
3) Ghi seed, data hash, checkpoint hash.</t>
  </si>
  <si>
    <t>Frozen base + separate low-rank adapters</t>
  </si>
  <si>
    <t>LORA-SEQ-001 checkpoint, context builder config, training manifest.</t>
  </si>
  <si>
    <t>Adapter B có hash/config riêng; không share weights/state với Adapter A; ordered contexts không vượt architecture/time boundary.</t>
  </si>
  <si>
    <t>S5; S7; S11</t>
  </si>
  <si>
    <t>Does not establish task-specific performance</t>
  </si>
  <si>
    <t>https://arxiv.org/abs/2106.09685</t>
  </si>
  <si>
    <t>1) Xây context window theo timestamp và session; reset ở partition boundary.
2) Tính next-log surprise/score với chiều score nhất quán.
3) Lưu top predicted candidates và context IDs làm evidence.</t>
  </si>
  <si>
    <t>EXP-SEQ-001 API schema, boundary tests, context evidence samples.</t>
  </si>
  <si>
    <t>Không có target labels; score/evidence deterministically map về record; boundary/unit tests pass.</t>
  </si>
  <si>
    <t>S5; S4</t>
  </si>
  <si>
    <t>S8</t>
  </si>
  <si>
    <t>DANN — Ganin et al. (2015)</t>
  </si>
  <si>
    <t>1) Khai báo node event/service/component và edge co-occurrence/temporal trong cửa sổ cố định.
2) Tính coverage cho metadata/edge; thiếu topology → coverage thấp/abstain, không giả score.
3) Train/evaluate GTAT trong fold được phép và log graph config.</t>
  </si>
  <si>
    <t>EXP-GTAT-001 graph schema, coverage report, model config.</t>
  </si>
  <si>
    <t>JMLR / arXiv</t>
  </si>
  <si>
    <t>Graph schema versioned; coverage là output bắt buộc; missing fields có fallback rõ; no fabricated structural prediction.</t>
  </si>
  <si>
    <t>Optional adversarial domain adaptation</t>
  </si>
  <si>
    <t>Use only after diagnostic + ablation; not assumed beneficial</t>
  </si>
  <si>
    <t>1) Định nghĩa common record: score_raw, score_calibrated, uncertainty, coverage, localisation, evidence, version.
2) Viết contract tests cho đủ ba expert.
3) Từ chối row thiếu identity/coverage thay vì fill giá trị mặc định.</t>
  </si>
  <si>
    <t>EVID-CS-001 JSON schema, contract-test report, sample artifacts.</t>
  </si>
  <si>
    <t>https://arxiv.org/abs/1505.07818</t>
  </si>
  <si>
    <t>100% expert outputs validate schema; Base/Adapter/GTAT versions traceable; missing coverage không bị biến thành certainty.</t>
  </si>
  <si>
    <t>S5; S6; S9</t>
  </si>
  <si>
    <t>1) Chạy smoke evaluation chỉ trên architecture held-out đã freeze.
2) Lưu prediction artifacts từng expert và diagnostics tương quan/disagreement.
3) Không thay hyperparameter bằng kết quả target.</t>
  </si>
  <si>
    <t>S9</t>
  </si>
  <si>
    <t>G2 prep result bundle, per-expert predictions, diversity diagnostic.</t>
  </si>
  <si>
    <t>Ba expert chạy được trên held-out source; artifacts có hashes; báo cáo chỉ là smoke/diagnostic, không claim superiority.</t>
  </si>
  <si>
    <t>SelectiveNet — Geifman &amp; El-Yaniv (2019)</t>
  </si>
  <si>
    <t>S3; S6</t>
  </si>
  <si>
    <t>1) Từ burn-in đã duyệt, xây prototype embedding, transition counts và graph statistics.
2) Tách memory key theo target/buffer hash.
3) Đóng băng memory trước chronological evaluation.</t>
  </si>
  <si>
    <t>ADAPT-MEM-001 memory artifact, source buffer hash, creation log.</t>
  </si>
  <si>
    <t>Memory chỉ đọc buffer đã approved; key chứa target+buffer hash; evaluation logs không làm thay đổi memory.</t>
  </si>
  <si>
    <t>S4; S6</t>
  </si>
  <si>
    <t>ICML / PMLR</t>
  </si>
  <si>
    <t>1) Tính quantiles trên normal buffer cho từng expert; chọn rule chuyển score trước evaluation.
2) Lưu quantile values, sample count và buffer hash.
3) So unit/scale scores sau calibration nhưng không chọn threshold bằng target labels.</t>
  </si>
  <si>
    <t>Abstention and risk–coverage framing</t>
  </si>
  <si>
    <t>CAL-CS-001 calibration table, config, sanity plots.</t>
  </si>
  <si>
    <t>Does not set an automatic threshold for this project</t>
  </si>
  <si>
    <t>Mỗi expert có scale documented; calibration artifact được freeze; không có access target label hay post-hoc threshold change.</t>
  </si>
  <si>
    <t>https://proceedings.mlr.press/v97/geifman19a.html</t>
  </si>
  <si>
    <t>1) Predefine drift statistic giữa source/buffer và online coverage statistic.
2) Log baseline/ref distribution cùng version.
3) Khi vượt threshold, emit drift/review state; không tự recalibrate âm thầm.</t>
  </si>
  <si>
    <t>S10</t>
  </si>
  <si>
    <t>DRIFT-CS-001 metric spec, baseline stats, threshold config.</t>
  </si>
  <si>
    <t>Isolation Forest — Liu et al. (2008)</t>
  </si>
  <si>
    <t>Metric, reference data và threshold versioned; output lý giải được drift/coverage; recalibration phải tạo artifact mới.</t>
  </si>
  <si>
    <t>IEEE ICDM</t>
  </si>
  <si>
    <t>Explicit anomaly baseline</t>
  </si>
  <si>
    <t>1) Chuẩn hóa uncertainty của từng expert và coverage.
2) Chọn abstain/review rule trước final evaluation.
3) Báo cáo risk–coverage/abstention rate cùng scores.</t>
  </si>
  <si>
    <t>Baseline only; feature/budget policy must be declared locally</t>
  </si>
  <si>
    <t>UNC-CS-001 uncertainty spec, abstain rule, example outputs.</t>
  </si>
  <si>
    <t>Unknown/review là outcome hợp lệ; rule versioned và testable; không ép low-coverage record thành normal/anomaly.</t>
  </si>
  <si>
    <t>https://doi.org/10.1109/ICDM.2008.17</t>
  </si>
  <si>
    <t>1) Khóa baselines: strongest single, equal-weight, Transformer Encoder và Isolation Forest.
2) Dùng cùng fold, input access, time/budget policy.
3) Xuất configs/predictions bằng common evidence schema.</t>
  </si>
  <si>
    <t>FUS-BASE-001 baseline configs, budget table, predictions.</t>
  </si>
  <si>
    <t>S11</t>
  </si>
  <si>
    <t>Không có learned target weight trong baseline; baseline artifacts có cùng provenance; comparison eligibility được ghi rõ.</t>
  </si>
  <si>
    <t>Meta Llama 3.1 (2024)</t>
  </si>
  <si>
    <t>S10; S5</t>
  </si>
  <si>
    <t>Meta official release</t>
  </si>
  <si>
    <t>1) Meta-train gate MLP 8→32→16→3 Softmax chỉ trên source LOAO episodes.
2) Input feature gồm drift/uncertainty/coverage/context đã định nghĩa; target label bị excluded.
3) Freeze gate before target evaluation; report gate vs equal/single.</t>
  </si>
  <si>
    <t>Base-model revision, license and tokenizer provenance</t>
  </si>
  <si>
    <t>FUS-GATE-001 episode manifest, gate config, input feature schema.</t>
  </si>
  <si>
    <t>Gate training never reads target labels; feature list/version and weights archived; target inference uses frozen gate.</t>
  </si>
  <si>
    <t>Official model information; still require project-specific evaluation</t>
  </si>
  <si>
    <t>S4; S6; S9</t>
  </si>
  <si>
    <t>https://ai.meta.com/blog/meta-llama-3-1/</t>
  </si>
  <si>
    <t>1) Đo complementarity (disagreement, correlation, double-fault) trong held-out source.
2) Chỉ unlock gate nếu tiêu chí diversity/stability predeclared đạt.
3) Với mỗi alert, xuất expert weights, evidence, localisation hoặc abstain reason.</t>
  </si>
  <si>
    <t>G3 evidence, EXPL-CS-001, complementarity tables, alert examples.</t>
  </si>
  <si>
    <t>Có bằng chứng expert không trùng lặp vô nghĩa; gate decision có receipt; mọi alert/review có explanation contract pass.</t>
  </si>
  <si>
    <t>S6; S9</t>
  </si>
  <si>
    <t>1) Freeze folds, target buffers, metrics, selection rule và seed trước full run.
2) Đăng ký thứ tự run/chính sách xử lý failure.
3) Cấm post-hoc target tuning; mọi thay đổi tạo protocol version mới.</t>
  </si>
  <si>
    <t>G4 prep, frozen evaluation manifest, run registry.</t>
  </si>
  <si>
    <t>Protocol signed; target architecture, buffer và selection policy immutable; no random mixed-domain split.</t>
  </si>
  <si>
    <t>1) Chạy chronological evaluation cho từng held-out target với model đã freeze.
2) Tính PR-AUC/AP, AUROC, FAR, time-to-detect, latency; bootstrap CI theo unit predeclared.
3) Lưu per-target predictions và metric script version.</t>
  </si>
  <si>
    <t>EVAL-CS-001 predictions, metrics tables, CI config, runtime logs.</t>
  </si>
  <si>
    <t>Mỗi metric trace tới prediction IDs; time order được giữ; CI unit/resampling rule stated; không gộp che mất per-target result.</t>
  </si>
  <si>
    <t>1) Tháo đúng một thành phần/biến thể mỗi run (LoRA-A, LoRA-B, GTAT, adaptation, gate).
2) Giữ folds/seeds/budget như full model.
3) Báo cáo paired per-target deltas và uncertainty, không chỉ best run.</t>
  </si>
  <si>
    <t>ABL-CS-001 ablation matrix, paired predictions, delta/CI table.</t>
  </si>
  <si>
    <t>Mỗi claim thành phần có paired artifact; không đổi nhiều yếu tố cùng lần; negative/null result được giữ.</t>
  </si>
  <si>
    <t>S5; S6; S7</t>
  </si>
  <si>
    <t>1) Predefine burn-in lengths và unseen service/template scenarios.
2) Chạy evaluation mà không sửa model sau từng scenario.
3) Report readiness threshold, coverage và failure mode.</t>
  </si>
  <si>
    <t>ROB-COLD-001 scenario manifest, curves/tables, failure log.</t>
  </si>
  <si>
    <t>Kết quả phân theo buffer length/scenario; threshold không chọn sau khi xem target labels; unknown cases được nêu.</t>
  </si>
  <si>
    <t>1) Định nghĩa controlled contamination/drift scenario và tỷ lệ trước run.
2) Tạo scenario bundle riêng, hashable; không để model đọc label để làm sạch.
3) Đo degradation so với clean buffer và report all settings.</t>
  </si>
  <si>
    <t>ROB-CONTAM-001 scenario generator/config, paired results, degradation table.</t>
  </si>
  <si>
    <t>Tỷ lệ/seed contamination traceable; không hidden target-label cleanup; degradation và giới hạn được công bố.</t>
  </si>
  <si>
    <t>1) Lập manifest dataset/model/adapter/gate/buffer/threshold hashes, seed và command.
2) Re-run một fold từ manifest trong clean environment.
3) So hash/metric tolerance và lưu latency hardware context.</t>
  </si>
  <si>
    <t>REPRO-CS-001 full manifest, rerun log, comparison receipt.</t>
  </si>
  <si>
    <t>Mọi metric có immutable inputs + code revision; rerun receipt pass hoặc discrepancy giải thích; không có result mồ côi.</t>
  </si>
  <si>
    <t>S1; S7; S11</t>
  </si>
  <si>
    <t>1) Với mỗi claim, link trực tiếp artifact, fold, metric và CI.
2) Viết giới hạn: evaluated architectures, burn-in assumptions, drift/contamination, abstention.
3) Xóa/sửa claim không có evidence bundle.</t>
  </si>
  <si>
    <t>CLAIM-CS-001 claim–evidence map, limitations checklist.</t>
  </si>
  <si>
    <t>Không có claim universal/generalisation ngoài phạm vi evaluated; mọi số liệu truy ngược được; limitations có trong report.</t>
  </si>
  <si>
    <t>S3; S4; S9</t>
  </si>
  <si>
    <t>1) Viết phương pháp theo protocol frozen; tách rõ planned method và empirical finding.
2) Đưa tables per-target, ablation, robustness, reproducibility và source links.
3) Bundle code/config/models theo license và handoff readme.</t>
  </si>
  <si>
    <t>REPORT-CS-001 report, reproducibility bundle, citations and handoff README.</t>
  </si>
  <si>
    <t>Report có architecture, protocol, results/CI, limitations và citations; bundle mở được từ README; không claim kết quả chưa chạy.</t>
  </si>
  <si>
    <t>S1; S3; S4; S5; S6; S7; S9; S11</t>
  </si>
  <si>
    <t>P1 COMPLETE — no empirical result</t>
  </si>
  <si>
    <t>data/processed/protocol/G0-receipt.json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</si>
</sst>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Carlito"/>
      <scheme val="minor"/>
    </font>
    <font>
      <b/>
      <sz val="16.0"/>
      <color rgb="FFFFFFFF"/>
      <name val="Arial"/>
    </font>
    <font>
      <i/>
      <sz val="10.0"/>
      <color rgb="FF52667A"/>
      <name val="Arial"/>
    </font>
    <font>
      <b/>
      <sz val="10.0"/>
      <color rgb="FFFFFFFF"/>
      <name val="Arial"/>
    </font>
    <font>
      <b/>
      <sz val="10.0"/>
      <color rgb="FF173B5D"/>
      <name val="Arial"/>
    </font>
    <font>
      <b/>
      <sz val="9.0"/>
      <color rgb="FF2E5C89"/>
      <name val="Arial"/>
    </font>
    <font>
      <sz val="9.0"/>
      <color rgb="FF1F2933"/>
      <name val="Arial"/>
    </font>
    <font>
      <sz val="11.0"/>
      <color theme="1"/>
      <name val="Carlito"/>
    </font>
    <font>
      <b/>
      <sz val="9.0"/>
      <color rgb="FF1D7779"/>
      <name val="Arial"/>
    </font>
    <font>
      <b/>
      <sz val="10.0"/>
      <color rgb="FF72510C"/>
      <name val="Arial"/>
    </font>
    <font>
      <b/>
      <sz val="9.0"/>
      <color rgb="FF8A6115"/>
      <name val="Arial"/>
    </font>
    <font>
      <b/>
      <sz val="9.0"/>
      <color rgb="FF69508D"/>
      <name val="Arial"/>
    </font>
    <font>
      <b/>
      <sz val="16.0"/>
      <color rgb="FFFFFFFF"/>
      <name val="Carlito"/>
    </font>
    <font>
      <i/>
      <sz val="10.0"/>
      <color rgb="FF52667A"/>
      <name val="Carlito"/>
    </font>
    <font>
      <b/>
      <sz val="10.0"/>
      <color rgb="FFFFFFFF"/>
      <name val="Carlito"/>
    </font>
    <font>
      <sz val="9.0"/>
      <color rgb="FF263645"/>
      <name val="Arial"/>
    </font>
    <font>
      <b/>
      <sz val="9.0"/>
      <color rgb="FF173B5D"/>
      <name val="Arial"/>
    </font>
    <font>
      <b/>
      <sz val="9.0"/>
      <color rgb="FF117C82"/>
      <name val="Arial"/>
    </font>
    <font>
      <sz val="9.0"/>
      <color rgb="FF263645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73B5D"/>
        <bgColor rgb="FF173B5D"/>
      </patternFill>
    </fill>
    <fill>
      <patternFill patternType="solid">
        <fgColor rgb="FFDDEAF3"/>
        <bgColor rgb="FFDDEAF3"/>
      </patternFill>
    </fill>
    <fill>
      <patternFill patternType="solid">
        <fgColor rgb="FF117C82"/>
        <bgColor rgb="FF117C82"/>
      </patternFill>
    </fill>
    <fill>
      <patternFill patternType="solid">
        <fgColor rgb="FFF5F8FB"/>
        <bgColor rgb="FFF5F8FB"/>
      </patternFill>
    </fill>
    <fill>
      <patternFill patternType="solid">
        <fgColor rgb="FFEAF2F9"/>
        <bgColor rgb="FFEAF2F9"/>
      </patternFill>
    </fill>
    <fill>
      <patternFill patternType="solid">
        <fgColor rgb="FFE8F5F3"/>
        <bgColor rgb="FFE8F5F3"/>
      </patternFill>
    </fill>
    <fill>
      <patternFill patternType="solid">
        <fgColor rgb="FF00FF00"/>
        <bgColor rgb="FF00FF00"/>
      </patternFill>
    </fill>
    <fill>
      <patternFill patternType="solid">
        <fgColor rgb="FFFFF4DD"/>
        <bgColor rgb="FFFFF4DD"/>
      </patternFill>
    </fill>
    <fill>
      <patternFill patternType="solid">
        <fgColor rgb="FFF0EBF7"/>
        <bgColor rgb="FFF0EBF7"/>
      </patternFill>
    </fill>
  </fills>
  <borders count="10">
    <border/>
    <border>
      <left style="thin">
        <color rgb="FF0C595A"/>
      </left>
      <right style="thin">
        <color rgb="FF0C595A"/>
      </right>
      <top style="thin">
        <color rgb="FF0C595A"/>
      </top>
      <bottom style="thin">
        <color rgb="FF0C595A"/>
      </bottom>
    </border>
    <border>
      <left style="thin">
        <color rgb="FFD5E0E9"/>
      </left>
      <top style="thin">
        <color rgb="FFD5E0E9"/>
      </top>
      <bottom style="thin">
        <color rgb="FFD5E0E9"/>
      </bottom>
    </border>
    <border>
      <top style="medium">
        <color rgb="FF2E5C89"/>
      </top>
      <bottom style="thin">
        <color rgb="FFD5E0E9"/>
      </bottom>
    </border>
    <border>
      <bottom style="thin">
        <color rgb="FFD5E0E9"/>
      </bottom>
    </border>
    <border>
      <top style="thin">
        <color rgb="FFD5E0E9"/>
      </top>
      <bottom style="thin">
        <color rgb="FFD5E0E9"/>
      </bottom>
    </border>
    <border>
      <top style="medium">
        <color rgb="FF1D7779"/>
      </top>
      <bottom style="thin">
        <color rgb="FFD5E0E9"/>
      </bottom>
    </border>
    <border>
      <right style="thin">
        <color rgb="FFD5E0E9"/>
      </right>
      <top style="thin">
        <color rgb="FFD5E0E9"/>
      </top>
      <bottom style="thin">
        <color rgb="FFD5E0E9"/>
      </bottom>
    </border>
    <border>
      <top style="medium">
        <color rgb="FF8A6115"/>
      </top>
      <bottom style="thin">
        <color rgb="FFD5E0E9"/>
      </bottom>
    </border>
    <border>
      <top style="medium">
        <color rgb="FF69508D"/>
      </top>
      <bottom style="thin">
        <color rgb="FFD5E0E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vertical="center"/>
    </xf>
    <xf borderId="1" fillId="4" fontId="3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vertical="center"/>
    </xf>
    <xf borderId="3" fillId="6" fontId="5" numFmtId="0" xfId="0" applyAlignment="1" applyBorder="1" applyFill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5" fillId="5" fontId="4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3" fillId="0" fontId="7" numFmtId="0" xfId="0" applyBorder="1" applyFont="1"/>
    <xf borderId="6" fillId="7" fontId="8" numFmtId="0" xfId="0" applyAlignment="1" applyBorder="1" applyFill="1" applyFont="1">
      <alignment shrinkToFit="0" vertical="center" wrapText="1"/>
    </xf>
    <xf borderId="3" fillId="8" fontId="6" numFmtId="0" xfId="0" applyAlignment="1" applyBorder="1" applyFill="1" applyFont="1">
      <alignment shrinkToFit="0" vertical="center" wrapText="1"/>
    </xf>
    <xf borderId="7" fillId="5" fontId="4" numFmtId="0" xfId="0" applyAlignment="1" applyBorder="1" applyFill="1" applyFont="1">
      <alignment horizontal="center" vertical="center"/>
    </xf>
    <xf borderId="5" fillId="6" fontId="5" numFmtId="0" xfId="0" applyAlignment="1" applyBorder="1" applyFill="1" applyFont="1">
      <alignment shrinkToFit="0" vertical="center" wrapText="1"/>
    </xf>
    <xf borderId="0" fillId="9" fontId="9" numFmtId="0" xfId="0" applyAlignment="1" applyFill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5" fillId="8" fontId="6" numFmtId="0" xfId="0" applyAlignment="1" applyBorder="1" applyFill="1" applyFont="1">
      <alignment readingOrder="0" shrinkToFit="0" vertical="center" wrapText="1"/>
    </xf>
    <xf borderId="6" fillId="0" fontId="7" numFmtId="0" xfId="0" applyBorder="1" applyFont="1"/>
    <xf borderId="8" fillId="9" fontId="10" numFmtId="0" xfId="0" applyAlignment="1" applyBorder="1" applyFill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7" numFmtId="0" xfId="0" applyBorder="1" applyFont="1"/>
    <xf borderId="9" fillId="10" fontId="11" numFmtId="0" xfId="0" applyAlignment="1" applyBorder="1" applyFill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5" fillId="7" fontId="8" numFmtId="0" xfId="0" applyAlignment="1" applyBorder="1" applyFill="1" applyFont="1">
      <alignment shrinkToFit="0" vertical="center" wrapText="1"/>
    </xf>
    <xf borderId="9" fillId="0" fontId="7" numFmtId="0" xfId="0" applyBorder="1" applyFont="1"/>
    <xf borderId="5" fillId="9" fontId="10" numFmtId="0" xfId="0" applyAlignment="1" applyBorder="1" applyFill="1" applyFont="1">
      <alignment shrinkToFit="0" vertical="center" wrapText="1"/>
    </xf>
    <xf borderId="5" fillId="10" fontId="11" numFmtId="0" xfId="0" applyAlignment="1" applyBorder="1" applyFill="1" applyFont="1">
      <alignment shrinkToFit="0" vertical="center" wrapText="1"/>
    </xf>
    <xf borderId="0" fillId="2" fontId="1" numFmtId="0" xfId="0" applyAlignment="1" applyFill="1" applyFont="1">
      <alignment shrinkToFit="0" vertical="center" wrapText="1"/>
    </xf>
    <xf borderId="0" fillId="2" fontId="12" numFmtId="0" xfId="0" applyAlignment="1" applyFill="1" applyFont="1">
      <alignment horizontal="left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13" numFmtId="0" xfId="0" applyAlignment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14" numFmtId="0" xfId="0" applyAlignment="1" applyBorder="1" applyFill="1" applyFont="1">
      <alignment horizontal="center" readingOrder="0" shrinkToFit="0" vertical="center" wrapText="1"/>
    </xf>
    <xf borderId="4" fillId="0" fontId="15" numFmtId="0" xfId="0" applyAlignment="1" applyBorder="1" applyFont="1">
      <alignment shrinkToFit="0" vertical="top" wrapText="1"/>
    </xf>
    <xf borderId="4" fillId="0" fontId="16" numFmtId="0" xfId="0" applyAlignment="1" applyBorder="1" applyFont="1">
      <alignment horizontal="center" shrinkToFit="0" vertical="top" wrapText="1"/>
    </xf>
    <xf borderId="4" fillId="0" fontId="17" numFmtId="0" xfId="0" applyAlignment="1" applyBorder="1" applyFont="1">
      <alignment horizontal="center" shrinkToFit="0" vertical="top" wrapText="1"/>
    </xf>
    <xf borderId="4" fillId="0" fontId="18" numFmtId="0" xfId="0" applyAlignment="1" applyBorder="1" applyFont="1">
      <alignment shrinkToFit="0" vertical="top" wrapText="1"/>
    </xf>
    <xf borderId="5" fillId="0" fontId="16" numFmtId="0" xfId="0" applyAlignment="1" applyBorder="1" applyFont="1">
      <alignment horizontal="center" shrinkToFit="0" vertical="top" wrapText="1"/>
    </xf>
    <xf borderId="5" fillId="0" fontId="15" numFmtId="0" xfId="0" applyAlignment="1" applyBorder="1" applyFont="1">
      <alignment shrinkToFit="0" vertical="top" wrapText="1"/>
    </xf>
    <xf borderId="5" fillId="0" fontId="17" numFmtId="0" xfId="0" applyAlignment="1" applyBorder="1" applyFont="1">
      <alignment horizontal="center" shrinkToFit="0" vertical="top" wrapText="1"/>
    </xf>
    <xf borderId="5" fillId="0" fontId="18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Research Sour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 Playboo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15" displayName="ResearchSourcesTable" name="ResearchSourcesTable" id="1">
  <tableColumns count="7">
    <tableColumn name="Key" id="1"/>
    <tableColumn name="Paper / year" id="2"/>
    <tableColumn name="Type" id="3"/>
    <tableColumn name="Contribution used in plan" id="4"/>
    <tableColumn name="Use boundary" id="5"/>
    <tableColumn name="URL / DOI" id="6"/>
    <tableColumn name="Status" id="7"/>
  </tableColumns>
  <tableStyleInfo name="Research Sources-style" showColumnStripes="0" showFirstColumn="1" showLastColumn="1" showRowStripes="1"/>
</table>
</file>

<file path=xl/tables/table2.xml><?xml version="1.0" encoding="utf-8"?>
<table xmlns="http://schemas.openxmlformats.org/spreadsheetml/2006/main" ref="A4:E36" displayName="TaskPlaybooksTable" name="TaskPlaybooksTable" id="2">
  <tableColumns count="5">
    <tableColumn name="Task ID" id="1"/>
    <tableColumn name="Cách làm có kiểm soát" id="2"/>
    <tableColumn name="Evidence bắt buộc" id="3"/>
    <tableColumn name="Definition of Done có thể kiểm chứng" id="4"/>
    <tableColumn name="Trích dẫn" id="5"/>
  </tableColumns>
  <tableStyleInfo name="Task Playboo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42.0"/>
    <col customWidth="1" min="3" max="3" width="20.0"/>
    <col customWidth="1" min="4" max="5" width="32.0"/>
    <col customWidth="1" min="6" max="6" width="22.0"/>
    <col customWidth="1" min="7" max="7" width="12.0"/>
    <col customWidth="1" min="8" max="8" width="16.0"/>
    <col customWidth="1" min="9" max="26" width="8.63"/>
  </cols>
  <sheetData>
    <row r="1" ht="30.0" customHeight="1">
      <c r="A1" s="1" t="s">
        <v>0</v>
      </c>
    </row>
    <row r="2" ht="21.75" customHeight="1">
      <c r="A2" s="2" t="s">
        <v>4</v>
      </c>
    </row>
    <row r="4">
      <c r="A4" s="4" t="s">
        <v>7</v>
      </c>
      <c r="B4" s="9">
        <f>COUNTA('Task Register'!A5:A36)</f>
        <v>32</v>
      </c>
      <c r="C4" s="9" t="s">
        <v>56</v>
      </c>
      <c r="D4" s="9">
        <f>COUNTIF('Task Register'!D5:D36,"Must")</f>
        <v>30</v>
      </c>
      <c r="E4" s="9" t="s">
        <v>60</v>
      </c>
      <c r="F4" s="9">
        <f>COUNTA(Gates!A5:A9)</f>
        <v>5</v>
      </c>
      <c r="G4" s="9" t="s">
        <v>72</v>
      </c>
      <c r="H4" s="15" t="s">
        <v>558</v>
      </c>
    </row>
    <row r="6" ht="33.75" customHeight="1">
      <c r="A6" s="17" t="s">
        <v>86</v>
      </c>
    </row>
    <row r="8">
      <c r="A8" s="3" t="s">
        <v>92</v>
      </c>
      <c r="B8" s="3" t="s">
        <v>93</v>
      </c>
      <c r="C8" s="3" t="s">
        <v>94</v>
      </c>
      <c r="D8" s="3" t="s">
        <v>95</v>
      </c>
      <c r="E8" s="3" t="s">
        <v>96</v>
      </c>
      <c r="F8" s="3" t="s">
        <v>23</v>
      </c>
      <c r="G8" s="3" t="s">
        <v>8</v>
      </c>
      <c r="H8" s="3" t="s">
        <v>26</v>
      </c>
    </row>
    <row r="9" ht="42.0" customHeight="1">
      <c r="A9" s="6" t="s">
        <v>107</v>
      </c>
      <c r="B9" s="6" t="s">
        <v>108</v>
      </c>
      <c r="C9" s="6" t="s">
        <v>110</v>
      </c>
      <c r="D9" s="6" t="s">
        <v>112</v>
      </c>
      <c r="E9" s="6" t="s">
        <v>114</v>
      </c>
      <c r="F9" s="6" t="s">
        <v>104</v>
      </c>
      <c r="G9" s="6" t="s">
        <v>116</v>
      </c>
      <c r="H9" s="8" t="s">
        <v>53</v>
      </c>
    </row>
    <row r="10" ht="42.0" customHeight="1">
      <c r="A10" s="11" t="s">
        <v>123</v>
      </c>
      <c r="B10" s="11" t="s">
        <v>125</v>
      </c>
      <c r="C10" s="11" t="s">
        <v>110</v>
      </c>
      <c r="D10" s="11" t="s">
        <v>127</v>
      </c>
      <c r="E10" s="11" t="s">
        <v>129</v>
      </c>
      <c r="F10" s="11" t="s">
        <v>104</v>
      </c>
      <c r="G10" s="11" t="s">
        <v>131</v>
      </c>
      <c r="H10" s="11" t="s">
        <v>105</v>
      </c>
    </row>
    <row r="11" ht="42.0" customHeight="1">
      <c r="A11" s="11" t="s">
        <v>157</v>
      </c>
      <c r="B11" s="11" t="s">
        <v>165</v>
      </c>
      <c r="C11" s="11" t="s">
        <v>110</v>
      </c>
      <c r="D11" s="11" t="s">
        <v>169</v>
      </c>
      <c r="E11" s="11" t="s">
        <v>170</v>
      </c>
      <c r="F11" s="11" t="s">
        <v>104</v>
      </c>
      <c r="G11" s="11" t="s">
        <v>131</v>
      </c>
      <c r="H11" s="11" t="s">
        <v>105</v>
      </c>
    </row>
    <row r="12" ht="42.0" customHeight="1">
      <c r="A12" s="11" t="s">
        <v>178</v>
      </c>
      <c r="B12" s="11" t="s">
        <v>181</v>
      </c>
      <c r="C12" s="11" t="s">
        <v>110</v>
      </c>
      <c r="D12" s="11" t="s">
        <v>183</v>
      </c>
      <c r="E12" s="11" t="s">
        <v>184</v>
      </c>
      <c r="F12" s="11" t="s">
        <v>104</v>
      </c>
      <c r="G12" s="11" t="s">
        <v>131</v>
      </c>
      <c r="H12" s="11" t="s">
        <v>105</v>
      </c>
    </row>
    <row r="13" ht="42.0" customHeight="1">
      <c r="A13" s="11" t="s">
        <v>188</v>
      </c>
      <c r="B13" s="11" t="s">
        <v>189</v>
      </c>
      <c r="C13" s="11" t="s">
        <v>110</v>
      </c>
      <c r="D13" s="11" t="s">
        <v>190</v>
      </c>
      <c r="E13" s="11" t="s">
        <v>191</v>
      </c>
      <c r="F13" s="11" t="s">
        <v>49</v>
      </c>
      <c r="G13" s="11" t="s">
        <v>192</v>
      </c>
      <c r="H13" s="11" t="s">
        <v>105</v>
      </c>
    </row>
    <row r="14" ht="42.0" customHeight="1">
      <c r="A14" s="11" t="s">
        <v>194</v>
      </c>
      <c r="B14" s="11" t="s">
        <v>195</v>
      </c>
      <c r="C14" s="11" t="s">
        <v>197</v>
      </c>
      <c r="D14" s="11" t="s">
        <v>198</v>
      </c>
      <c r="E14" s="11" t="s">
        <v>200</v>
      </c>
      <c r="F14" s="11" t="s">
        <v>40</v>
      </c>
      <c r="G14" s="11" t="s">
        <v>203</v>
      </c>
      <c r="H14" s="11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6:H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0"/>
    <col customWidth="1" min="2" max="2" width="12.0"/>
    <col customWidth="1" min="3" max="3" width="43.0"/>
    <col customWidth="1" min="4" max="4" width="15.0"/>
    <col customWidth="1" min="5" max="5" width="42.0"/>
    <col customWidth="1" min="6" max="6" width="24.0"/>
    <col customWidth="1" min="7" max="7" width="28.0"/>
    <col customWidth="1" min="8" max="8" width="23.0"/>
    <col customWidth="1" min="9" max="9" width="14.0"/>
    <col customWidth="1" min="10" max="26" width="8.63"/>
  </cols>
  <sheetData>
    <row r="1" ht="30.0" customHeight="1">
      <c r="A1" s="1" t="s">
        <v>3</v>
      </c>
    </row>
    <row r="2" ht="21.75" customHeight="1">
      <c r="A2" s="2" t="s">
        <v>5</v>
      </c>
    </row>
    <row r="4">
      <c r="A4" s="3" t="s">
        <v>8</v>
      </c>
      <c r="B4" s="3" t="s">
        <v>12</v>
      </c>
      <c r="C4" s="3" t="s">
        <v>13</v>
      </c>
      <c r="D4" s="3" t="s">
        <v>16</v>
      </c>
      <c r="E4" s="3" t="s">
        <v>19</v>
      </c>
      <c r="F4" s="3" t="s">
        <v>22</v>
      </c>
      <c r="G4" s="3" t="s">
        <v>24</v>
      </c>
      <c r="H4" s="3" t="s">
        <v>23</v>
      </c>
      <c r="I4" s="3" t="s">
        <v>26</v>
      </c>
    </row>
    <row r="5" ht="57.75" customHeight="1">
      <c r="A5" s="5" t="s">
        <v>31</v>
      </c>
      <c r="B5" s="5" t="s">
        <v>34</v>
      </c>
      <c r="C5" s="7" t="s">
        <v>35</v>
      </c>
      <c r="D5" s="7" t="s">
        <v>42</v>
      </c>
      <c r="E5" s="7" t="s">
        <v>44</v>
      </c>
      <c r="F5" s="7" t="s">
        <v>45</v>
      </c>
      <c r="G5" s="7" t="s">
        <v>47</v>
      </c>
      <c r="H5" s="7" t="s">
        <v>49</v>
      </c>
      <c r="I5" s="10" t="s">
        <v>53</v>
      </c>
      <c r="J5" s="12"/>
      <c r="K5" s="12"/>
    </row>
    <row r="6" ht="57.75" customHeight="1">
      <c r="A6" s="13" t="s">
        <v>62</v>
      </c>
      <c r="B6" s="13" t="s">
        <v>65</v>
      </c>
      <c r="C6" s="18" t="s">
        <v>69</v>
      </c>
      <c r="D6" s="18" t="s">
        <v>42</v>
      </c>
      <c r="E6" s="18" t="s">
        <v>98</v>
      </c>
      <c r="F6" s="18" t="s">
        <v>100</v>
      </c>
      <c r="G6" s="18" t="s">
        <v>101</v>
      </c>
      <c r="H6" s="18" t="s">
        <v>49</v>
      </c>
      <c r="I6" s="18" t="s">
        <v>105</v>
      </c>
      <c r="J6" s="20"/>
      <c r="K6" s="20"/>
    </row>
    <row r="7" ht="57.75" customHeight="1">
      <c r="A7" s="21" t="s">
        <v>118</v>
      </c>
      <c r="B7" s="21" t="s">
        <v>124</v>
      </c>
      <c r="C7" s="22" t="s">
        <v>128</v>
      </c>
      <c r="D7" s="22" t="s">
        <v>42</v>
      </c>
      <c r="E7" s="22" t="s">
        <v>135</v>
      </c>
      <c r="F7" s="22" t="s">
        <v>137</v>
      </c>
      <c r="G7" s="22" t="s">
        <v>139</v>
      </c>
      <c r="H7" s="22" t="s">
        <v>49</v>
      </c>
      <c r="I7" s="22" t="s">
        <v>105</v>
      </c>
      <c r="J7" s="23"/>
      <c r="K7" s="23"/>
    </row>
    <row r="8" ht="57.75" customHeight="1">
      <c r="A8" s="24" t="s">
        <v>151</v>
      </c>
      <c r="B8" s="24" t="s">
        <v>158</v>
      </c>
      <c r="C8" s="25" t="s">
        <v>159</v>
      </c>
      <c r="D8" s="25" t="s">
        <v>42</v>
      </c>
      <c r="E8" s="25" t="s">
        <v>162</v>
      </c>
      <c r="F8" s="25" t="s">
        <v>164</v>
      </c>
      <c r="G8" s="25" t="s">
        <v>166</v>
      </c>
      <c r="H8" s="25" t="s">
        <v>167</v>
      </c>
      <c r="I8" s="25" t="s">
        <v>105</v>
      </c>
      <c r="J8" s="27"/>
      <c r="K8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24.0"/>
    <col customWidth="1" min="3" max="3" width="21.0"/>
    <col customWidth="1" min="4" max="4" width="12.0"/>
    <col customWidth="1" min="5" max="5" width="48.0"/>
    <col customWidth="1" min="6" max="6" width="23.0"/>
    <col customWidth="1" min="7" max="7" width="25.0"/>
    <col customWidth="1" min="8" max="8" width="12.0"/>
    <col customWidth="1" min="9" max="9" width="24.0"/>
    <col customWidth="1" min="10" max="10" width="43.0"/>
    <col customWidth="1" min="11" max="11" width="18.0"/>
    <col customWidth="1" min="12" max="26" width="8.63"/>
  </cols>
  <sheetData>
    <row r="1" ht="30.0" customHeight="1">
      <c r="A1" s="1" t="s">
        <v>1</v>
      </c>
    </row>
    <row r="2" ht="21.75" customHeight="1">
      <c r="A2" s="2" t="s">
        <v>10</v>
      </c>
    </row>
    <row r="4">
      <c r="A4" s="3" t="s">
        <v>11</v>
      </c>
      <c r="B4" s="3" t="s">
        <v>8</v>
      </c>
      <c r="C4" s="3" t="s">
        <v>14</v>
      </c>
      <c r="D4" s="3" t="s">
        <v>17</v>
      </c>
      <c r="E4" s="3" t="s">
        <v>18</v>
      </c>
      <c r="F4" s="3" t="s">
        <v>20</v>
      </c>
      <c r="G4" s="3" t="s">
        <v>23</v>
      </c>
      <c r="H4" s="3" t="s">
        <v>12</v>
      </c>
      <c r="I4" s="3" t="s">
        <v>27</v>
      </c>
      <c r="J4" s="3" t="s">
        <v>29</v>
      </c>
      <c r="K4" s="3" t="s">
        <v>26</v>
      </c>
    </row>
    <row r="5" ht="51.75" customHeight="1">
      <c r="A5" s="5" t="s">
        <v>32</v>
      </c>
      <c r="B5" s="5" t="s">
        <v>31</v>
      </c>
      <c r="C5" s="7" t="s">
        <v>39</v>
      </c>
      <c r="D5" s="7" t="s">
        <v>43</v>
      </c>
      <c r="E5" s="7" t="s">
        <v>48</v>
      </c>
      <c r="F5" s="7" t="s">
        <v>50</v>
      </c>
      <c r="G5" s="7" t="s">
        <v>51</v>
      </c>
      <c r="H5" s="7" t="s">
        <v>52</v>
      </c>
      <c r="I5" s="7" t="s">
        <v>54</v>
      </c>
      <c r="J5" s="7" t="s">
        <v>55</v>
      </c>
      <c r="K5" s="14" t="s">
        <v>67</v>
      </c>
    </row>
    <row r="6" ht="51.75" customHeight="1">
      <c r="A6" s="16" t="s">
        <v>85</v>
      </c>
      <c r="B6" s="16" t="s">
        <v>31</v>
      </c>
      <c r="C6" s="11" t="s">
        <v>87</v>
      </c>
      <c r="D6" s="11" t="s">
        <v>43</v>
      </c>
      <c r="E6" s="11" t="s">
        <v>88</v>
      </c>
      <c r="F6" s="11" t="s">
        <v>89</v>
      </c>
      <c r="G6" s="11" t="s">
        <v>90</v>
      </c>
      <c r="H6" s="11" t="s">
        <v>52</v>
      </c>
      <c r="I6" s="11" t="s">
        <v>32</v>
      </c>
      <c r="J6" s="11" t="s">
        <v>91</v>
      </c>
      <c r="K6" s="19" t="s">
        <v>67</v>
      </c>
    </row>
    <row r="7" ht="51.75" customHeight="1">
      <c r="A7" s="16" t="s">
        <v>97</v>
      </c>
      <c r="B7" s="16" t="s">
        <v>31</v>
      </c>
      <c r="C7" s="11" t="s">
        <v>99</v>
      </c>
      <c r="D7" s="11" t="s">
        <v>43</v>
      </c>
      <c r="E7" s="11" t="s">
        <v>102</v>
      </c>
      <c r="F7" s="11" t="s">
        <v>103</v>
      </c>
      <c r="G7" s="11" t="s">
        <v>104</v>
      </c>
      <c r="H7" s="11" t="s">
        <v>52</v>
      </c>
      <c r="I7" s="11" t="s">
        <v>85</v>
      </c>
      <c r="J7" s="11" t="s">
        <v>106</v>
      </c>
      <c r="K7" s="19" t="s">
        <v>67</v>
      </c>
    </row>
    <row r="8" ht="51.75" customHeight="1">
      <c r="A8" s="16" t="s">
        <v>109</v>
      </c>
      <c r="B8" s="16" t="s">
        <v>31</v>
      </c>
      <c r="C8" s="11" t="s">
        <v>111</v>
      </c>
      <c r="D8" s="11" t="s">
        <v>43</v>
      </c>
      <c r="E8" s="11" t="s">
        <v>113</v>
      </c>
      <c r="F8" s="11" t="s">
        <v>115</v>
      </c>
      <c r="G8" s="11" t="s">
        <v>104</v>
      </c>
      <c r="H8" s="11" t="s">
        <v>52</v>
      </c>
      <c r="I8" s="11" t="s">
        <v>97</v>
      </c>
      <c r="J8" s="11" t="s">
        <v>117</v>
      </c>
      <c r="K8" s="19" t="s">
        <v>67</v>
      </c>
    </row>
    <row r="9" ht="51.75" customHeight="1">
      <c r="A9" s="16" t="s">
        <v>119</v>
      </c>
      <c r="B9" s="16" t="s">
        <v>31</v>
      </c>
      <c r="C9" s="11" t="s">
        <v>120</v>
      </c>
      <c r="D9" s="11" t="s">
        <v>43</v>
      </c>
      <c r="E9" s="11" t="s">
        <v>121</v>
      </c>
      <c r="F9" s="11" t="s">
        <v>122</v>
      </c>
      <c r="G9" s="11" t="s">
        <v>104</v>
      </c>
      <c r="H9" s="11" t="s">
        <v>52</v>
      </c>
      <c r="I9" s="11" t="s">
        <v>85</v>
      </c>
      <c r="J9" s="11" t="s">
        <v>126</v>
      </c>
      <c r="K9" s="19" t="s">
        <v>67</v>
      </c>
    </row>
    <row r="10" ht="51.75" customHeight="1">
      <c r="A10" s="16" t="s">
        <v>130</v>
      </c>
      <c r="B10" s="16" t="s">
        <v>31</v>
      </c>
      <c r="C10" s="11" t="s">
        <v>132</v>
      </c>
      <c r="D10" s="11" t="s">
        <v>43</v>
      </c>
      <c r="E10" s="11" t="s">
        <v>133</v>
      </c>
      <c r="F10" s="11" t="s">
        <v>134</v>
      </c>
      <c r="G10" s="11" t="s">
        <v>51</v>
      </c>
      <c r="H10" s="11" t="s">
        <v>136</v>
      </c>
      <c r="I10" s="11" t="s">
        <v>138</v>
      </c>
      <c r="J10" s="11" t="s">
        <v>140</v>
      </c>
      <c r="K10" s="19" t="s">
        <v>67</v>
      </c>
    </row>
    <row r="11" ht="51.75" customHeight="1">
      <c r="A11" s="16" t="s">
        <v>141</v>
      </c>
      <c r="B11" s="16" t="s">
        <v>31</v>
      </c>
      <c r="C11" s="11" t="s">
        <v>142</v>
      </c>
      <c r="D11" s="11" t="s">
        <v>43</v>
      </c>
      <c r="E11" s="11" t="s">
        <v>143</v>
      </c>
      <c r="F11" s="11" t="s">
        <v>144</v>
      </c>
      <c r="G11" s="11" t="s">
        <v>104</v>
      </c>
      <c r="H11" s="11" t="s">
        <v>136</v>
      </c>
      <c r="I11" s="11" t="s">
        <v>145</v>
      </c>
      <c r="J11" s="11" t="s">
        <v>146</v>
      </c>
      <c r="K11" s="19" t="s">
        <v>67</v>
      </c>
    </row>
    <row r="12" ht="51.75" customHeight="1">
      <c r="A12" s="16" t="s">
        <v>147</v>
      </c>
      <c r="B12" s="16" t="s">
        <v>31</v>
      </c>
      <c r="C12" s="11" t="s">
        <v>148</v>
      </c>
      <c r="D12" s="11" t="s">
        <v>43</v>
      </c>
      <c r="E12" s="11" t="s">
        <v>149</v>
      </c>
      <c r="F12" s="11" t="s">
        <v>150</v>
      </c>
      <c r="G12" s="11" t="s">
        <v>90</v>
      </c>
      <c r="H12" s="11" t="s">
        <v>136</v>
      </c>
      <c r="I12" s="11" t="s">
        <v>141</v>
      </c>
      <c r="J12" s="11" t="s">
        <v>152</v>
      </c>
      <c r="K12" s="19" t="s">
        <v>67</v>
      </c>
    </row>
    <row r="13" ht="51.75" customHeight="1">
      <c r="A13" s="13" t="s">
        <v>153</v>
      </c>
      <c r="B13" s="13" t="s">
        <v>62</v>
      </c>
      <c r="C13" s="18" t="s">
        <v>154</v>
      </c>
      <c r="D13" s="18" t="s">
        <v>43</v>
      </c>
      <c r="E13" s="18" t="s">
        <v>155</v>
      </c>
      <c r="F13" s="18" t="s">
        <v>156</v>
      </c>
      <c r="G13" s="18" t="s">
        <v>51</v>
      </c>
      <c r="H13" s="18" t="s">
        <v>160</v>
      </c>
      <c r="I13" s="18" t="s">
        <v>147</v>
      </c>
      <c r="J13" s="18" t="s">
        <v>161</v>
      </c>
      <c r="K13" s="18" t="s">
        <v>163</v>
      </c>
    </row>
    <row r="14" ht="51.75" customHeight="1">
      <c r="A14" s="26" t="s">
        <v>168</v>
      </c>
      <c r="B14" s="26" t="s">
        <v>62</v>
      </c>
      <c r="C14" s="11" t="s">
        <v>171</v>
      </c>
      <c r="D14" s="11" t="s">
        <v>43</v>
      </c>
      <c r="E14" s="11" t="s">
        <v>172</v>
      </c>
      <c r="F14" s="11" t="s">
        <v>173</v>
      </c>
      <c r="G14" s="11" t="s">
        <v>104</v>
      </c>
      <c r="H14" s="11" t="s">
        <v>160</v>
      </c>
      <c r="I14" s="11" t="s">
        <v>153</v>
      </c>
      <c r="J14" s="11" t="s">
        <v>174</v>
      </c>
      <c r="K14" s="11" t="s">
        <v>163</v>
      </c>
    </row>
    <row r="15" ht="51.75" customHeight="1">
      <c r="A15" s="26" t="s">
        <v>175</v>
      </c>
      <c r="B15" s="26" t="s">
        <v>62</v>
      </c>
      <c r="C15" s="11" t="s">
        <v>176</v>
      </c>
      <c r="D15" s="11" t="s">
        <v>177</v>
      </c>
      <c r="E15" s="11" t="s">
        <v>179</v>
      </c>
      <c r="F15" s="11" t="s">
        <v>180</v>
      </c>
      <c r="G15" s="11" t="s">
        <v>104</v>
      </c>
      <c r="H15" s="11" t="s">
        <v>160</v>
      </c>
      <c r="I15" s="11" t="s">
        <v>168</v>
      </c>
      <c r="J15" s="11" t="s">
        <v>182</v>
      </c>
      <c r="K15" s="11" t="s">
        <v>163</v>
      </c>
    </row>
    <row r="16" ht="51.75" customHeight="1">
      <c r="A16" s="26" t="s">
        <v>185</v>
      </c>
      <c r="B16" s="26" t="s">
        <v>62</v>
      </c>
      <c r="C16" s="11" t="s">
        <v>123</v>
      </c>
      <c r="D16" s="11" t="s">
        <v>43</v>
      </c>
      <c r="E16" s="11" t="s">
        <v>186</v>
      </c>
      <c r="F16" s="11" t="s">
        <v>187</v>
      </c>
      <c r="G16" s="11" t="s">
        <v>104</v>
      </c>
      <c r="H16" s="11" t="s">
        <v>160</v>
      </c>
      <c r="I16" s="11" t="s">
        <v>168</v>
      </c>
      <c r="J16" s="11" t="s">
        <v>193</v>
      </c>
      <c r="K16" s="11" t="s">
        <v>163</v>
      </c>
    </row>
    <row r="17" ht="51.75" customHeight="1">
      <c r="A17" s="26" t="s">
        <v>196</v>
      </c>
      <c r="B17" s="26" t="s">
        <v>62</v>
      </c>
      <c r="C17" s="11" t="s">
        <v>199</v>
      </c>
      <c r="D17" s="11" t="s">
        <v>43</v>
      </c>
      <c r="E17" s="11" t="s">
        <v>201</v>
      </c>
      <c r="F17" s="11" t="s">
        <v>202</v>
      </c>
      <c r="G17" s="11" t="s">
        <v>104</v>
      </c>
      <c r="H17" s="11" t="s">
        <v>204</v>
      </c>
      <c r="I17" s="11" t="s">
        <v>153</v>
      </c>
      <c r="J17" s="11" t="s">
        <v>205</v>
      </c>
      <c r="K17" s="11" t="s">
        <v>163</v>
      </c>
    </row>
    <row r="18" ht="51.75" customHeight="1">
      <c r="A18" s="26" t="s">
        <v>206</v>
      </c>
      <c r="B18" s="26" t="s">
        <v>62</v>
      </c>
      <c r="C18" s="11" t="s">
        <v>157</v>
      </c>
      <c r="D18" s="11" t="s">
        <v>43</v>
      </c>
      <c r="E18" s="11" t="s">
        <v>207</v>
      </c>
      <c r="F18" s="11" t="s">
        <v>208</v>
      </c>
      <c r="G18" s="11" t="s">
        <v>104</v>
      </c>
      <c r="H18" s="11" t="s">
        <v>204</v>
      </c>
      <c r="I18" s="11" t="s">
        <v>196</v>
      </c>
      <c r="J18" s="11" t="s">
        <v>209</v>
      </c>
      <c r="K18" s="11" t="s">
        <v>163</v>
      </c>
    </row>
    <row r="19" ht="51.75" customHeight="1">
      <c r="A19" s="26" t="s">
        <v>210</v>
      </c>
      <c r="B19" s="26" t="s">
        <v>62</v>
      </c>
      <c r="C19" s="11" t="s">
        <v>211</v>
      </c>
      <c r="D19" s="11" t="s">
        <v>43</v>
      </c>
      <c r="E19" s="11" t="s">
        <v>212</v>
      </c>
      <c r="F19" s="11" t="s">
        <v>213</v>
      </c>
      <c r="G19" s="11" t="s">
        <v>104</v>
      </c>
      <c r="H19" s="11" t="s">
        <v>204</v>
      </c>
      <c r="I19" s="11" t="s">
        <v>97</v>
      </c>
      <c r="J19" s="11" t="s">
        <v>214</v>
      </c>
      <c r="K19" s="11" t="s">
        <v>163</v>
      </c>
    </row>
    <row r="20" ht="51.75" customHeight="1">
      <c r="A20" s="26" t="s">
        <v>215</v>
      </c>
      <c r="B20" s="26" t="s">
        <v>62</v>
      </c>
      <c r="C20" s="11" t="s">
        <v>216</v>
      </c>
      <c r="D20" s="11" t="s">
        <v>43</v>
      </c>
      <c r="E20" s="11" t="s">
        <v>217</v>
      </c>
      <c r="F20" s="11" t="s">
        <v>218</v>
      </c>
      <c r="G20" s="11" t="s">
        <v>104</v>
      </c>
      <c r="H20" s="11" t="s">
        <v>204</v>
      </c>
      <c r="I20" s="11" t="s">
        <v>219</v>
      </c>
      <c r="J20" s="11" t="s">
        <v>220</v>
      </c>
      <c r="K20" s="11" t="s">
        <v>163</v>
      </c>
    </row>
    <row r="21" ht="51.75" customHeight="1">
      <c r="A21" s="21" t="s">
        <v>221</v>
      </c>
      <c r="B21" s="21" t="s">
        <v>118</v>
      </c>
      <c r="C21" s="22" t="s">
        <v>222</v>
      </c>
      <c r="D21" s="22" t="s">
        <v>43</v>
      </c>
      <c r="E21" s="22" t="s">
        <v>223</v>
      </c>
      <c r="F21" s="22" t="s">
        <v>224</v>
      </c>
      <c r="G21" s="22" t="s">
        <v>51</v>
      </c>
      <c r="H21" s="22" t="s">
        <v>225</v>
      </c>
      <c r="I21" s="22" t="s">
        <v>215</v>
      </c>
      <c r="J21" s="22" t="s">
        <v>226</v>
      </c>
      <c r="K21" s="22" t="s">
        <v>227</v>
      </c>
    </row>
    <row r="22" ht="51.75" customHeight="1">
      <c r="A22" s="28" t="s">
        <v>228</v>
      </c>
      <c r="B22" s="28" t="s">
        <v>118</v>
      </c>
      <c r="C22" s="11" t="s">
        <v>229</v>
      </c>
      <c r="D22" s="11" t="s">
        <v>43</v>
      </c>
      <c r="E22" s="11" t="s">
        <v>230</v>
      </c>
      <c r="F22" s="11" t="s">
        <v>231</v>
      </c>
      <c r="G22" s="11" t="s">
        <v>104</v>
      </c>
      <c r="H22" s="11" t="s">
        <v>225</v>
      </c>
      <c r="I22" s="11" t="s">
        <v>232</v>
      </c>
      <c r="J22" s="11" t="s">
        <v>233</v>
      </c>
      <c r="K22" s="11" t="s">
        <v>163</v>
      </c>
    </row>
    <row r="23" ht="51.75" customHeight="1">
      <c r="A23" s="28" t="s">
        <v>234</v>
      </c>
      <c r="B23" s="28" t="s">
        <v>118</v>
      </c>
      <c r="C23" s="11" t="s">
        <v>235</v>
      </c>
      <c r="D23" s="11" t="s">
        <v>43</v>
      </c>
      <c r="E23" s="11" t="s">
        <v>236</v>
      </c>
      <c r="F23" s="11" t="s">
        <v>237</v>
      </c>
      <c r="G23" s="11" t="s">
        <v>104</v>
      </c>
      <c r="H23" s="11" t="s">
        <v>225</v>
      </c>
      <c r="I23" s="11" t="s">
        <v>228</v>
      </c>
      <c r="J23" s="11" t="s">
        <v>238</v>
      </c>
      <c r="K23" s="11" t="s">
        <v>163</v>
      </c>
    </row>
    <row r="24" ht="51.75" customHeight="1">
      <c r="A24" s="28" t="s">
        <v>239</v>
      </c>
      <c r="B24" s="28" t="s">
        <v>118</v>
      </c>
      <c r="C24" s="11" t="s">
        <v>240</v>
      </c>
      <c r="D24" s="11" t="s">
        <v>43</v>
      </c>
      <c r="E24" s="11" t="s">
        <v>241</v>
      </c>
      <c r="F24" s="11" t="s">
        <v>242</v>
      </c>
      <c r="G24" s="11" t="s">
        <v>104</v>
      </c>
      <c r="H24" s="11" t="s">
        <v>225</v>
      </c>
      <c r="I24" s="11" t="s">
        <v>228</v>
      </c>
      <c r="J24" s="11" t="s">
        <v>243</v>
      </c>
      <c r="K24" s="11" t="s">
        <v>163</v>
      </c>
    </row>
    <row r="25" ht="51.75" customHeight="1">
      <c r="A25" s="28" t="s">
        <v>244</v>
      </c>
      <c r="B25" s="28" t="s">
        <v>118</v>
      </c>
      <c r="C25" s="11" t="s">
        <v>245</v>
      </c>
      <c r="D25" s="11" t="s">
        <v>43</v>
      </c>
      <c r="E25" s="11" t="s">
        <v>246</v>
      </c>
      <c r="F25" s="11" t="s">
        <v>247</v>
      </c>
      <c r="G25" s="11" t="s">
        <v>104</v>
      </c>
      <c r="H25" s="11" t="s">
        <v>225</v>
      </c>
      <c r="I25" s="11" t="s">
        <v>248</v>
      </c>
      <c r="J25" s="11" t="s">
        <v>249</v>
      </c>
      <c r="K25" s="11" t="s">
        <v>163</v>
      </c>
    </row>
    <row r="26" ht="51.75" customHeight="1">
      <c r="A26" s="28" t="s">
        <v>250</v>
      </c>
      <c r="B26" s="28" t="s">
        <v>118</v>
      </c>
      <c r="C26" s="11" t="s">
        <v>251</v>
      </c>
      <c r="D26" s="11" t="s">
        <v>43</v>
      </c>
      <c r="E26" s="11" t="s">
        <v>252</v>
      </c>
      <c r="F26" s="11" t="s">
        <v>253</v>
      </c>
      <c r="G26" s="11" t="s">
        <v>104</v>
      </c>
      <c r="H26" s="11" t="s">
        <v>254</v>
      </c>
      <c r="I26" s="11" t="s">
        <v>234</v>
      </c>
      <c r="J26" s="11" t="s">
        <v>255</v>
      </c>
      <c r="K26" s="11" t="s">
        <v>163</v>
      </c>
    </row>
    <row r="27" ht="51.75" customHeight="1">
      <c r="A27" s="28" t="s">
        <v>256</v>
      </c>
      <c r="B27" s="28" t="s">
        <v>118</v>
      </c>
      <c r="C27" s="11" t="s">
        <v>188</v>
      </c>
      <c r="D27" s="11" t="s">
        <v>257</v>
      </c>
      <c r="E27" s="11" t="s">
        <v>258</v>
      </c>
      <c r="F27" s="11" t="s">
        <v>259</v>
      </c>
      <c r="G27" s="11" t="s">
        <v>90</v>
      </c>
      <c r="H27" s="11" t="s">
        <v>254</v>
      </c>
      <c r="I27" s="11" t="s">
        <v>260</v>
      </c>
      <c r="J27" s="11" t="s">
        <v>261</v>
      </c>
      <c r="K27" s="11" t="s">
        <v>163</v>
      </c>
    </row>
    <row r="28" ht="51.75" customHeight="1">
      <c r="A28" s="28" t="s">
        <v>262</v>
      </c>
      <c r="B28" s="28" t="s">
        <v>118</v>
      </c>
      <c r="C28" s="11" t="s">
        <v>263</v>
      </c>
      <c r="D28" s="11" t="s">
        <v>43</v>
      </c>
      <c r="E28" s="11" t="s">
        <v>264</v>
      </c>
      <c r="F28" s="11" t="s">
        <v>265</v>
      </c>
      <c r="G28" s="11" t="s">
        <v>104</v>
      </c>
      <c r="H28" s="11" t="s">
        <v>254</v>
      </c>
      <c r="I28" s="11" t="s">
        <v>266</v>
      </c>
      <c r="J28" s="11" t="s">
        <v>267</v>
      </c>
      <c r="K28" s="11" t="s">
        <v>163</v>
      </c>
    </row>
    <row r="29" ht="51.75" customHeight="1">
      <c r="A29" s="24" t="s">
        <v>268</v>
      </c>
      <c r="B29" s="24" t="s">
        <v>151</v>
      </c>
      <c r="C29" s="25" t="s">
        <v>269</v>
      </c>
      <c r="D29" s="25" t="s">
        <v>43</v>
      </c>
      <c r="E29" s="25" t="s">
        <v>270</v>
      </c>
      <c r="F29" s="25" t="s">
        <v>271</v>
      </c>
      <c r="G29" s="25" t="s">
        <v>51</v>
      </c>
      <c r="H29" s="25" t="s">
        <v>272</v>
      </c>
      <c r="I29" s="25" t="s">
        <v>262</v>
      </c>
      <c r="J29" s="25" t="s">
        <v>273</v>
      </c>
      <c r="K29" s="25" t="s">
        <v>227</v>
      </c>
    </row>
    <row r="30" ht="51.75" customHeight="1">
      <c r="A30" s="29" t="s">
        <v>274</v>
      </c>
      <c r="B30" s="29" t="s">
        <v>151</v>
      </c>
      <c r="C30" s="11" t="s">
        <v>275</v>
      </c>
      <c r="D30" s="11" t="s">
        <v>43</v>
      </c>
      <c r="E30" s="11" t="s">
        <v>276</v>
      </c>
      <c r="F30" s="11" t="s">
        <v>277</v>
      </c>
      <c r="G30" s="11" t="s">
        <v>51</v>
      </c>
      <c r="H30" s="11" t="s">
        <v>272</v>
      </c>
      <c r="I30" s="11" t="s">
        <v>268</v>
      </c>
      <c r="J30" s="11" t="s">
        <v>278</v>
      </c>
      <c r="K30" s="11" t="s">
        <v>227</v>
      </c>
    </row>
    <row r="31" ht="51.75" customHeight="1">
      <c r="A31" s="29" t="s">
        <v>279</v>
      </c>
      <c r="B31" s="29" t="s">
        <v>151</v>
      </c>
      <c r="C31" s="11" t="s">
        <v>280</v>
      </c>
      <c r="D31" s="11" t="s">
        <v>43</v>
      </c>
      <c r="E31" s="11" t="s">
        <v>281</v>
      </c>
      <c r="F31" s="11" t="s">
        <v>282</v>
      </c>
      <c r="G31" s="11" t="s">
        <v>90</v>
      </c>
      <c r="H31" s="11" t="s">
        <v>272</v>
      </c>
      <c r="I31" s="11" t="s">
        <v>274</v>
      </c>
      <c r="J31" s="11" t="s">
        <v>283</v>
      </c>
      <c r="K31" s="11" t="s">
        <v>163</v>
      </c>
    </row>
    <row r="32" ht="51.75" customHeight="1">
      <c r="A32" s="29" t="s">
        <v>284</v>
      </c>
      <c r="B32" s="29" t="s">
        <v>151</v>
      </c>
      <c r="C32" s="11" t="s">
        <v>285</v>
      </c>
      <c r="D32" s="11" t="s">
        <v>43</v>
      </c>
      <c r="E32" s="11" t="s">
        <v>286</v>
      </c>
      <c r="F32" s="11" t="s">
        <v>287</v>
      </c>
      <c r="G32" s="11" t="s">
        <v>90</v>
      </c>
      <c r="H32" s="11" t="s">
        <v>272</v>
      </c>
      <c r="I32" s="11" t="s">
        <v>274</v>
      </c>
      <c r="J32" s="11" t="s">
        <v>288</v>
      </c>
      <c r="K32" s="11" t="s">
        <v>163</v>
      </c>
    </row>
    <row r="33" ht="51.75" customHeight="1">
      <c r="A33" s="29" t="s">
        <v>289</v>
      </c>
      <c r="B33" s="29" t="s">
        <v>151</v>
      </c>
      <c r="C33" s="11" t="s">
        <v>290</v>
      </c>
      <c r="D33" s="11" t="s">
        <v>43</v>
      </c>
      <c r="E33" s="11" t="s">
        <v>291</v>
      </c>
      <c r="F33" s="11" t="s">
        <v>292</v>
      </c>
      <c r="G33" s="11" t="s">
        <v>90</v>
      </c>
      <c r="H33" s="11" t="s">
        <v>293</v>
      </c>
      <c r="I33" s="11" t="s">
        <v>274</v>
      </c>
      <c r="J33" s="11" t="s">
        <v>294</v>
      </c>
      <c r="K33" s="11" t="s">
        <v>163</v>
      </c>
    </row>
    <row r="34" ht="51.75" customHeight="1">
      <c r="A34" s="29" t="s">
        <v>295</v>
      </c>
      <c r="B34" s="29" t="s">
        <v>151</v>
      </c>
      <c r="C34" s="11" t="s">
        <v>296</v>
      </c>
      <c r="D34" s="11" t="s">
        <v>43</v>
      </c>
      <c r="E34" s="11" t="s">
        <v>297</v>
      </c>
      <c r="F34" s="11" t="s">
        <v>298</v>
      </c>
      <c r="G34" s="11" t="s">
        <v>104</v>
      </c>
      <c r="H34" s="11" t="s">
        <v>293</v>
      </c>
      <c r="I34" s="11" t="s">
        <v>299</v>
      </c>
      <c r="J34" s="11" t="s">
        <v>300</v>
      </c>
      <c r="K34" s="11" t="s">
        <v>163</v>
      </c>
    </row>
    <row r="35" ht="51.75" customHeight="1">
      <c r="A35" s="29" t="s">
        <v>301</v>
      </c>
      <c r="B35" s="29" t="s">
        <v>151</v>
      </c>
      <c r="C35" s="11" t="s">
        <v>302</v>
      </c>
      <c r="D35" s="11" t="s">
        <v>43</v>
      </c>
      <c r="E35" s="11" t="s">
        <v>303</v>
      </c>
      <c r="F35" s="11" t="s">
        <v>304</v>
      </c>
      <c r="G35" s="11" t="s">
        <v>90</v>
      </c>
      <c r="H35" s="11" t="s">
        <v>293</v>
      </c>
      <c r="I35" s="11" t="s">
        <v>295</v>
      </c>
      <c r="J35" s="11" t="s">
        <v>305</v>
      </c>
      <c r="K35" s="11" t="s">
        <v>163</v>
      </c>
    </row>
    <row r="36" ht="51.75" customHeight="1">
      <c r="A36" s="29" t="s">
        <v>306</v>
      </c>
      <c r="B36" s="29" t="s">
        <v>151</v>
      </c>
      <c r="C36" s="11" t="s">
        <v>307</v>
      </c>
      <c r="D36" s="11" t="s">
        <v>43</v>
      </c>
      <c r="E36" s="11" t="s">
        <v>308</v>
      </c>
      <c r="F36" s="11" t="s">
        <v>309</v>
      </c>
      <c r="G36" s="11" t="s">
        <v>90</v>
      </c>
      <c r="H36" s="11" t="s">
        <v>293</v>
      </c>
      <c r="I36" s="11" t="s">
        <v>301</v>
      </c>
      <c r="J36" s="11" t="s">
        <v>310</v>
      </c>
      <c r="K36" s="11" t="s">
        <v>163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K5:K36">
      <formula1>"Ready,Not started,In progress,Waiting researcher,Blocked,Done"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49.0"/>
    <col customWidth="1" min="4" max="4" width="43.0"/>
    <col customWidth="1" min="5" max="5" width="18.0"/>
    <col customWidth="1" min="6" max="6" width="24.0"/>
    <col customWidth="1" min="7" max="7" width="16.0"/>
    <col customWidth="1" min="8" max="8" width="27.0"/>
    <col customWidth="1" min="9" max="26" width="8.63"/>
  </cols>
  <sheetData>
    <row r="1" ht="30.0" customHeight="1">
      <c r="A1" s="1" t="s">
        <v>2</v>
      </c>
    </row>
    <row r="2" ht="21.75" customHeight="1">
      <c r="A2" s="2" t="s">
        <v>6</v>
      </c>
    </row>
    <row r="4">
      <c r="A4" s="3" t="s">
        <v>9</v>
      </c>
      <c r="B4" s="3" t="s">
        <v>15</v>
      </c>
      <c r="C4" s="3" t="s">
        <v>21</v>
      </c>
      <c r="D4" s="3" t="s">
        <v>25</v>
      </c>
      <c r="E4" s="3" t="s">
        <v>23</v>
      </c>
      <c r="F4" s="3" t="s">
        <v>28</v>
      </c>
      <c r="G4" s="3" t="s">
        <v>26</v>
      </c>
      <c r="H4" s="3" t="s">
        <v>30</v>
      </c>
    </row>
    <row r="5" ht="57.75" customHeight="1">
      <c r="A5" s="6" t="s">
        <v>33</v>
      </c>
      <c r="B5" s="6" t="s">
        <v>36</v>
      </c>
      <c r="C5" s="6" t="s">
        <v>37</v>
      </c>
      <c r="D5" s="6" t="s">
        <v>38</v>
      </c>
      <c r="E5" s="6" t="s">
        <v>40</v>
      </c>
      <c r="F5" s="6" t="s">
        <v>41</v>
      </c>
      <c r="G5" s="8" t="s">
        <v>46</v>
      </c>
      <c r="H5" s="6" t="s">
        <v>559</v>
      </c>
    </row>
    <row r="6" ht="57.75" customHeight="1">
      <c r="A6" s="11" t="s">
        <v>57</v>
      </c>
      <c r="B6" s="11" t="s">
        <v>58</v>
      </c>
      <c r="C6" s="11" t="s">
        <v>59</v>
      </c>
      <c r="D6" s="11" t="s">
        <v>61</v>
      </c>
      <c r="E6" s="11" t="s">
        <v>40</v>
      </c>
      <c r="F6" s="11" t="s">
        <v>63</v>
      </c>
      <c r="G6" s="11" t="s">
        <v>64</v>
      </c>
      <c r="H6" s="11" t="s">
        <v>54</v>
      </c>
    </row>
    <row r="7" ht="57.75" customHeight="1">
      <c r="A7" s="11" t="s">
        <v>66</v>
      </c>
      <c r="B7" s="11" t="s">
        <v>68</v>
      </c>
      <c r="C7" s="11" t="s">
        <v>70</v>
      </c>
      <c r="D7" s="11" t="s">
        <v>71</v>
      </c>
      <c r="E7" s="11" t="s">
        <v>40</v>
      </c>
      <c r="F7" s="11" t="s">
        <v>73</v>
      </c>
      <c r="G7" s="11" t="s">
        <v>64</v>
      </c>
      <c r="H7" s="11" t="s">
        <v>54</v>
      </c>
    </row>
    <row r="8" ht="57.75" customHeight="1">
      <c r="A8" s="11" t="s">
        <v>75</v>
      </c>
      <c r="B8" s="11" t="s">
        <v>76</v>
      </c>
      <c r="C8" s="11" t="s">
        <v>77</v>
      </c>
      <c r="D8" s="11" t="s">
        <v>78</v>
      </c>
      <c r="E8" s="11" t="s">
        <v>40</v>
      </c>
      <c r="F8" s="11" t="s">
        <v>79</v>
      </c>
      <c r="G8" s="11" t="s">
        <v>64</v>
      </c>
      <c r="H8" s="11" t="s">
        <v>54</v>
      </c>
    </row>
    <row r="9" ht="57.75" customHeight="1">
      <c r="A9" s="11" t="s">
        <v>80</v>
      </c>
      <c r="B9" s="11" t="s">
        <v>81</v>
      </c>
      <c r="C9" s="11" t="s">
        <v>82</v>
      </c>
      <c r="D9" s="11" t="s">
        <v>83</v>
      </c>
      <c r="E9" s="11" t="s">
        <v>40</v>
      </c>
      <c r="F9" s="11" t="s">
        <v>84</v>
      </c>
      <c r="G9" s="11" t="s">
        <v>64</v>
      </c>
      <c r="H9" s="11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40.0"/>
    <col customWidth="1" min="3" max="3" width="27.0"/>
    <col customWidth="1" min="4" max="5" width="28.0"/>
    <col customWidth="1" min="6" max="6" width="38.0"/>
    <col customWidth="1" min="7" max="7" width="34.0"/>
    <col customWidth="1" min="8" max="8" width="35.0"/>
    <col customWidth="1" min="9" max="9" width="22.0"/>
    <col customWidth="1" min="10" max="10" width="15.0"/>
    <col customWidth="1" min="11" max="26" width="8.63"/>
  </cols>
  <sheetData>
    <row r="1" ht="30.0" customHeight="1">
      <c r="A1" s="1" t="s">
        <v>311</v>
      </c>
    </row>
    <row r="2" ht="21.75" customHeight="1">
      <c r="A2" s="2" t="s">
        <v>312</v>
      </c>
    </row>
    <row r="4">
      <c r="A4" s="3" t="s">
        <v>313</v>
      </c>
      <c r="B4" s="3" t="s">
        <v>314</v>
      </c>
      <c r="C4" s="3" t="s">
        <v>315</v>
      </c>
      <c r="D4" s="3" t="s">
        <v>316</v>
      </c>
      <c r="E4" s="3" t="s">
        <v>317</v>
      </c>
      <c r="F4" s="3" t="s">
        <v>21</v>
      </c>
      <c r="G4" s="3" t="s">
        <v>318</v>
      </c>
      <c r="H4" s="3" t="s">
        <v>319</v>
      </c>
      <c r="I4" s="3" t="s">
        <v>23</v>
      </c>
      <c r="J4" s="3" t="s">
        <v>26</v>
      </c>
    </row>
    <row r="5" ht="61.5" customHeight="1">
      <c r="A5" s="6" t="s">
        <v>320</v>
      </c>
      <c r="B5" s="6" t="s">
        <v>321</v>
      </c>
      <c r="C5" s="6" t="s">
        <v>322</v>
      </c>
      <c r="D5" s="6" t="s">
        <v>323</v>
      </c>
      <c r="E5" s="6" t="s">
        <v>324</v>
      </c>
      <c r="F5" s="6" t="s">
        <v>325</v>
      </c>
      <c r="G5" s="6" t="s">
        <v>326</v>
      </c>
      <c r="H5" s="6" t="s">
        <v>327</v>
      </c>
      <c r="I5" s="6" t="s">
        <v>49</v>
      </c>
      <c r="J5" s="6" t="s">
        <v>105</v>
      </c>
    </row>
    <row r="6" ht="61.5" customHeight="1">
      <c r="A6" s="11" t="s">
        <v>328</v>
      </c>
      <c r="B6" s="11" t="s">
        <v>329</v>
      </c>
      <c r="C6" s="11" t="s">
        <v>330</v>
      </c>
      <c r="D6" s="11" t="s">
        <v>331</v>
      </c>
      <c r="E6" s="11" t="s">
        <v>63</v>
      </c>
      <c r="F6" s="11" t="s">
        <v>332</v>
      </c>
      <c r="G6" s="11" t="s">
        <v>333</v>
      </c>
      <c r="H6" s="11" t="s">
        <v>334</v>
      </c>
      <c r="I6" s="11" t="s">
        <v>49</v>
      </c>
      <c r="J6" s="11" t="s">
        <v>105</v>
      </c>
    </row>
    <row r="7" ht="61.5" customHeight="1">
      <c r="A7" s="11" t="s">
        <v>335</v>
      </c>
      <c r="B7" s="11" t="s">
        <v>336</v>
      </c>
      <c r="C7" s="11" t="s">
        <v>337</v>
      </c>
      <c r="D7" s="11" t="s">
        <v>338</v>
      </c>
      <c r="E7" s="11" t="s">
        <v>339</v>
      </c>
      <c r="F7" s="11" t="s">
        <v>340</v>
      </c>
      <c r="G7" s="11" t="s">
        <v>341</v>
      </c>
      <c r="H7" s="11" t="s">
        <v>342</v>
      </c>
      <c r="I7" s="11" t="s">
        <v>49</v>
      </c>
      <c r="J7" s="11" t="s">
        <v>105</v>
      </c>
    </row>
    <row r="8" ht="61.5" customHeight="1">
      <c r="A8" s="11" t="s">
        <v>343</v>
      </c>
      <c r="B8" s="11" t="s">
        <v>344</v>
      </c>
      <c r="C8" s="11" t="s">
        <v>345</v>
      </c>
      <c r="D8" s="11" t="s">
        <v>346</v>
      </c>
      <c r="E8" s="11" t="s">
        <v>347</v>
      </c>
      <c r="F8" s="11" t="s">
        <v>348</v>
      </c>
      <c r="G8" s="11" t="s">
        <v>349</v>
      </c>
      <c r="H8" s="11" t="s">
        <v>350</v>
      </c>
      <c r="I8" s="11" t="s">
        <v>49</v>
      </c>
      <c r="J8" s="11" t="s">
        <v>105</v>
      </c>
    </row>
    <row r="9" ht="61.5" customHeight="1">
      <c r="A9" s="11" t="s">
        <v>351</v>
      </c>
      <c r="B9" s="11" t="s">
        <v>352</v>
      </c>
      <c r="C9" s="11" t="s">
        <v>353</v>
      </c>
      <c r="D9" s="11" t="s">
        <v>354</v>
      </c>
      <c r="E9" s="11" t="s">
        <v>355</v>
      </c>
      <c r="F9" s="11" t="s">
        <v>356</v>
      </c>
      <c r="G9" s="11" t="s">
        <v>357</v>
      </c>
      <c r="H9" s="11" t="s">
        <v>358</v>
      </c>
      <c r="I9" s="11" t="s">
        <v>49</v>
      </c>
      <c r="J9" s="11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35.0"/>
    <col customWidth="1" min="3" max="3" width="20.0"/>
    <col customWidth="1" min="4" max="4" width="48.0"/>
    <col customWidth="1" min="5" max="5" width="52.0"/>
    <col customWidth="1" min="6" max="6" width="48.0"/>
    <col customWidth="1" min="7" max="7" width="12.0"/>
    <col customWidth="1" min="8" max="26" width="8.63"/>
  </cols>
  <sheetData>
    <row r="1" ht="27.75" customHeight="1">
      <c r="A1" s="30" t="s">
        <v>359</v>
      </c>
    </row>
    <row r="2" ht="27.75" customHeight="1">
      <c r="A2" s="32" t="s">
        <v>361</v>
      </c>
    </row>
    <row r="4" ht="30.0" customHeight="1">
      <c r="A4" s="34" t="s">
        <v>363</v>
      </c>
      <c r="B4" s="34" t="s">
        <v>364</v>
      </c>
      <c r="C4" s="34" t="s">
        <v>365</v>
      </c>
      <c r="D4" s="34" t="s">
        <v>366</v>
      </c>
      <c r="E4" s="34" t="s">
        <v>368</v>
      </c>
      <c r="F4" s="34" t="s">
        <v>369</v>
      </c>
      <c r="G4" s="35" t="s">
        <v>26</v>
      </c>
    </row>
    <row r="5" ht="54.0" customHeight="1">
      <c r="A5" s="36" t="s">
        <v>373</v>
      </c>
      <c r="B5" s="36" t="s">
        <v>374</v>
      </c>
      <c r="C5" s="36" t="s">
        <v>375</v>
      </c>
      <c r="D5" s="36" t="s">
        <v>377</v>
      </c>
      <c r="E5" s="36" t="s">
        <v>378</v>
      </c>
      <c r="F5" s="36" t="s">
        <v>380</v>
      </c>
      <c r="G5" s="39" t="s">
        <v>382</v>
      </c>
    </row>
    <row r="6" ht="54.0" customHeight="1">
      <c r="A6" s="41" t="s">
        <v>384</v>
      </c>
      <c r="B6" s="41" t="s">
        <v>387</v>
      </c>
      <c r="C6" s="41" t="s">
        <v>389</v>
      </c>
      <c r="D6" s="41" t="s">
        <v>390</v>
      </c>
      <c r="E6" s="41" t="s">
        <v>392</v>
      </c>
      <c r="F6" s="41" t="s">
        <v>393</v>
      </c>
      <c r="G6" s="43" t="s">
        <v>382</v>
      </c>
    </row>
    <row r="7" ht="54.0" customHeight="1">
      <c r="A7" s="41" t="s">
        <v>397</v>
      </c>
      <c r="B7" s="41" t="s">
        <v>398</v>
      </c>
      <c r="C7" s="41" t="s">
        <v>400</v>
      </c>
      <c r="D7" s="41" t="s">
        <v>401</v>
      </c>
      <c r="E7" s="41" t="s">
        <v>403</v>
      </c>
      <c r="F7" s="41" t="s">
        <v>405</v>
      </c>
      <c r="G7" s="43" t="s">
        <v>382</v>
      </c>
    </row>
    <row r="8" ht="54.0" customHeight="1">
      <c r="A8" s="41" t="s">
        <v>408</v>
      </c>
      <c r="B8" s="41" t="s">
        <v>409</v>
      </c>
      <c r="C8" s="41" t="s">
        <v>410</v>
      </c>
      <c r="D8" s="41" t="s">
        <v>413</v>
      </c>
      <c r="E8" s="41" t="s">
        <v>416</v>
      </c>
      <c r="F8" s="41" t="s">
        <v>417</v>
      </c>
      <c r="G8" s="43" t="s">
        <v>382</v>
      </c>
    </row>
    <row r="9" ht="54.0" customHeight="1">
      <c r="A9" s="41" t="s">
        <v>422</v>
      </c>
      <c r="B9" s="41" t="s">
        <v>425</v>
      </c>
      <c r="C9" s="41" t="s">
        <v>410</v>
      </c>
      <c r="D9" s="41" t="s">
        <v>427</v>
      </c>
      <c r="E9" s="41" t="s">
        <v>429</v>
      </c>
      <c r="F9" s="41" t="s">
        <v>432</v>
      </c>
      <c r="G9" s="43" t="s">
        <v>382</v>
      </c>
    </row>
    <row r="10" ht="54.0" customHeight="1">
      <c r="A10" s="43" t="s">
        <v>436</v>
      </c>
      <c r="B10" s="43" t="s">
        <v>439</v>
      </c>
      <c r="C10" s="43" t="s">
        <v>440</v>
      </c>
      <c r="D10" s="43" t="s">
        <v>444</v>
      </c>
      <c r="E10" s="43" t="s">
        <v>446</v>
      </c>
      <c r="F10" s="43" t="s">
        <v>448</v>
      </c>
      <c r="G10" s="43" t="s">
        <v>382</v>
      </c>
    </row>
    <row r="11" ht="54.0" customHeight="1">
      <c r="A11" s="43" t="s">
        <v>453</v>
      </c>
      <c r="B11" s="43" t="s">
        <v>456</v>
      </c>
      <c r="C11" s="43" t="s">
        <v>458</v>
      </c>
      <c r="D11" s="43" t="s">
        <v>460</v>
      </c>
      <c r="E11" s="43" t="s">
        <v>464</v>
      </c>
      <c r="F11" s="43" t="s">
        <v>465</v>
      </c>
      <c r="G11" s="43" t="s">
        <v>382</v>
      </c>
    </row>
    <row r="12" ht="54.0" customHeight="1">
      <c r="A12" s="43" t="s">
        <v>470</v>
      </c>
      <c r="B12" s="43" t="s">
        <v>471</v>
      </c>
      <c r="C12" s="43" t="s">
        <v>474</v>
      </c>
      <c r="D12" s="43" t="s">
        <v>476</v>
      </c>
      <c r="E12" s="43" t="s">
        <v>477</v>
      </c>
      <c r="F12" s="43" t="s">
        <v>480</v>
      </c>
      <c r="G12" s="43" t="s">
        <v>382</v>
      </c>
    </row>
    <row r="13" ht="54.0" customHeight="1">
      <c r="A13" s="43" t="s">
        <v>484</v>
      </c>
      <c r="B13" s="43" t="s">
        <v>487</v>
      </c>
      <c r="C13" s="43" t="s">
        <v>493</v>
      </c>
      <c r="D13" s="43" t="s">
        <v>495</v>
      </c>
      <c r="E13" s="43" t="s">
        <v>497</v>
      </c>
      <c r="F13" s="43" t="s">
        <v>499</v>
      </c>
      <c r="G13" s="43" t="s">
        <v>382</v>
      </c>
    </row>
    <row r="14" ht="54.0" customHeight="1">
      <c r="A14" s="43" t="s">
        <v>501</v>
      </c>
      <c r="B14" s="43" t="s">
        <v>503</v>
      </c>
      <c r="C14" s="43" t="s">
        <v>505</v>
      </c>
      <c r="D14" s="43" t="s">
        <v>506</v>
      </c>
      <c r="E14" s="43" t="s">
        <v>508</v>
      </c>
      <c r="F14" s="43" t="s">
        <v>511</v>
      </c>
      <c r="G14" s="43" t="s">
        <v>382</v>
      </c>
    </row>
    <row r="15" ht="54.0" customHeight="1">
      <c r="A15" s="43" t="s">
        <v>514</v>
      </c>
      <c r="B15" s="43" t="s">
        <v>516</v>
      </c>
      <c r="C15" s="43" t="s">
        <v>518</v>
      </c>
      <c r="D15" s="43" t="s">
        <v>520</v>
      </c>
      <c r="E15" s="43" t="s">
        <v>523</v>
      </c>
      <c r="F15" s="43" t="s">
        <v>525</v>
      </c>
      <c r="G15" s="43" t="s">
        <v>382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63.0"/>
    <col customWidth="1" min="3" max="3" width="34.0"/>
    <col customWidth="1" min="4" max="4" width="48.0"/>
    <col customWidth="1" min="5" max="5" width="18.0"/>
    <col customWidth="1" min="6" max="26" width="8.63"/>
  </cols>
  <sheetData>
    <row r="1" ht="27.75" customHeight="1">
      <c r="A1" s="31" t="s">
        <v>360</v>
      </c>
    </row>
    <row r="2" ht="33.75" customHeight="1">
      <c r="A2" s="33" t="s">
        <v>362</v>
      </c>
    </row>
    <row r="4" ht="30.0" customHeight="1">
      <c r="A4" s="35" t="s">
        <v>11</v>
      </c>
      <c r="B4" s="35" t="s">
        <v>367</v>
      </c>
      <c r="C4" s="35" t="s">
        <v>370</v>
      </c>
      <c r="D4" s="35" t="s">
        <v>371</v>
      </c>
      <c r="E4" s="35" t="s">
        <v>372</v>
      </c>
    </row>
    <row r="5" ht="81.75" customHeight="1">
      <c r="A5" s="37" t="s">
        <v>32</v>
      </c>
      <c r="B5" s="36" t="s">
        <v>376</v>
      </c>
      <c r="C5" s="36" t="s">
        <v>379</v>
      </c>
      <c r="D5" s="36" t="s">
        <v>381</v>
      </c>
      <c r="E5" s="38" t="s">
        <v>383</v>
      </c>
    </row>
    <row r="6" ht="81.75" customHeight="1">
      <c r="A6" s="40" t="s">
        <v>85</v>
      </c>
      <c r="B6" s="41" t="s">
        <v>385</v>
      </c>
      <c r="C6" s="41" t="s">
        <v>386</v>
      </c>
      <c r="D6" s="41" t="s">
        <v>388</v>
      </c>
      <c r="E6" s="42" t="s">
        <v>391</v>
      </c>
    </row>
    <row r="7" ht="81.75" customHeight="1">
      <c r="A7" s="40" t="s">
        <v>97</v>
      </c>
      <c r="B7" s="41" t="s">
        <v>394</v>
      </c>
      <c r="C7" s="41" t="s">
        <v>395</v>
      </c>
      <c r="D7" s="41" t="s">
        <v>396</v>
      </c>
      <c r="E7" s="42" t="s">
        <v>399</v>
      </c>
    </row>
    <row r="8" ht="81.75" customHeight="1">
      <c r="A8" s="40" t="s">
        <v>109</v>
      </c>
      <c r="B8" s="41" t="s">
        <v>402</v>
      </c>
      <c r="C8" s="41" t="s">
        <v>404</v>
      </c>
      <c r="D8" s="41" t="s">
        <v>406</v>
      </c>
      <c r="E8" s="42" t="s">
        <v>407</v>
      </c>
    </row>
    <row r="9" ht="81.75" customHeight="1">
      <c r="A9" s="40" t="s">
        <v>119</v>
      </c>
      <c r="B9" s="41" t="s">
        <v>411</v>
      </c>
      <c r="C9" s="41" t="s">
        <v>412</v>
      </c>
      <c r="D9" s="41" t="s">
        <v>414</v>
      </c>
      <c r="E9" s="42" t="s">
        <v>415</v>
      </c>
    </row>
    <row r="10" ht="81.75" customHeight="1">
      <c r="A10" s="40" t="s">
        <v>130</v>
      </c>
      <c r="B10" s="41" t="s">
        <v>418</v>
      </c>
      <c r="C10" s="41" t="s">
        <v>419</v>
      </c>
      <c r="D10" s="41" t="s">
        <v>420</v>
      </c>
      <c r="E10" s="42" t="s">
        <v>421</v>
      </c>
    </row>
    <row r="11" ht="81.75" customHeight="1">
      <c r="A11" s="40" t="s">
        <v>141</v>
      </c>
      <c r="B11" s="41" t="s">
        <v>423</v>
      </c>
      <c r="C11" s="41" t="s">
        <v>424</v>
      </c>
      <c r="D11" s="41" t="s">
        <v>426</v>
      </c>
      <c r="E11" s="42" t="s">
        <v>383</v>
      </c>
    </row>
    <row r="12" ht="81.75" customHeight="1">
      <c r="A12" s="40" t="s">
        <v>147</v>
      </c>
      <c r="B12" s="41" t="s">
        <v>428</v>
      </c>
      <c r="C12" s="41" t="s">
        <v>430</v>
      </c>
      <c r="D12" s="41" t="s">
        <v>431</v>
      </c>
      <c r="E12" s="42" t="s">
        <v>433</v>
      </c>
    </row>
    <row r="13" ht="81.75" customHeight="1">
      <c r="A13" s="40" t="s">
        <v>153</v>
      </c>
      <c r="B13" s="41" t="s">
        <v>434</v>
      </c>
      <c r="C13" s="41" t="s">
        <v>435</v>
      </c>
      <c r="D13" s="41" t="s">
        <v>437</v>
      </c>
      <c r="E13" s="42" t="s">
        <v>438</v>
      </c>
    </row>
    <row r="14" ht="81.75" customHeight="1">
      <c r="A14" s="40" t="s">
        <v>168</v>
      </c>
      <c r="B14" s="41" t="s">
        <v>441</v>
      </c>
      <c r="C14" s="41" t="s">
        <v>442</v>
      </c>
      <c r="D14" s="41" t="s">
        <v>443</v>
      </c>
      <c r="E14" s="42" t="s">
        <v>445</v>
      </c>
    </row>
    <row r="15" ht="81.75" customHeight="1">
      <c r="A15" s="40" t="s">
        <v>175</v>
      </c>
      <c r="B15" s="41" t="s">
        <v>447</v>
      </c>
      <c r="C15" s="41" t="s">
        <v>449</v>
      </c>
      <c r="D15" s="41" t="s">
        <v>450</v>
      </c>
      <c r="E15" s="42" t="s">
        <v>451</v>
      </c>
    </row>
    <row r="16" ht="81.75" customHeight="1">
      <c r="A16" s="40" t="s">
        <v>185</v>
      </c>
      <c r="B16" s="41" t="s">
        <v>452</v>
      </c>
      <c r="C16" s="41" t="s">
        <v>454</v>
      </c>
      <c r="D16" s="41" t="s">
        <v>455</v>
      </c>
      <c r="E16" s="42" t="s">
        <v>457</v>
      </c>
    </row>
    <row r="17" ht="81.75" customHeight="1">
      <c r="A17" s="40" t="s">
        <v>196</v>
      </c>
      <c r="B17" s="41" t="s">
        <v>459</v>
      </c>
      <c r="C17" s="41" t="s">
        <v>461</v>
      </c>
      <c r="D17" s="41" t="s">
        <v>462</v>
      </c>
      <c r="E17" s="42" t="s">
        <v>463</v>
      </c>
    </row>
    <row r="18" ht="81.75" customHeight="1">
      <c r="A18" s="40" t="s">
        <v>206</v>
      </c>
      <c r="B18" s="41" t="s">
        <v>466</v>
      </c>
      <c r="C18" s="41" t="s">
        <v>467</v>
      </c>
      <c r="D18" s="41" t="s">
        <v>468</v>
      </c>
      <c r="E18" s="42" t="s">
        <v>469</v>
      </c>
    </row>
    <row r="19" ht="81.75" customHeight="1">
      <c r="A19" s="40" t="s">
        <v>210</v>
      </c>
      <c r="B19" s="41" t="s">
        <v>472</v>
      </c>
      <c r="C19" s="41" t="s">
        <v>473</v>
      </c>
      <c r="D19" s="41" t="s">
        <v>475</v>
      </c>
      <c r="E19" s="42" t="s">
        <v>436</v>
      </c>
    </row>
    <row r="20" ht="81.75" customHeight="1">
      <c r="A20" s="40" t="s">
        <v>215</v>
      </c>
      <c r="B20" s="41" t="s">
        <v>478</v>
      </c>
      <c r="C20" s="41" t="s">
        <v>479</v>
      </c>
      <c r="D20" s="41" t="s">
        <v>481</v>
      </c>
      <c r="E20" s="42" t="s">
        <v>482</v>
      </c>
    </row>
    <row r="21" ht="81.75" customHeight="1">
      <c r="A21" s="40" t="s">
        <v>221</v>
      </c>
      <c r="B21" s="41" t="s">
        <v>483</v>
      </c>
      <c r="C21" s="41" t="s">
        <v>485</v>
      </c>
      <c r="D21" s="41" t="s">
        <v>486</v>
      </c>
      <c r="E21" s="42" t="s">
        <v>488</v>
      </c>
    </row>
    <row r="22" ht="81.75" customHeight="1">
      <c r="A22" s="40" t="s">
        <v>228</v>
      </c>
      <c r="B22" s="41" t="s">
        <v>489</v>
      </c>
      <c r="C22" s="41" t="s">
        <v>490</v>
      </c>
      <c r="D22" s="41" t="s">
        <v>491</v>
      </c>
      <c r="E22" s="42" t="s">
        <v>492</v>
      </c>
    </row>
    <row r="23" ht="81.75" customHeight="1">
      <c r="A23" s="40" t="s">
        <v>234</v>
      </c>
      <c r="B23" s="41" t="s">
        <v>494</v>
      </c>
      <c r="C23" s="41" t="s">
        <v>496</v>
      </c>
      <c r="D23" s="41" t="s">
        <v>498</v>
      </c>
      <c r="E23" s="42" t="s">
        <v>421</v>
      </c>
    </row>
    <row r="24" ht="81.75" customHeight="1">
      <c r="A24" s="40" t="s">
        <v>239</v>
      </c>
      <c r="B24" s="41" t="s">
        <v>500</v>
      </c>
      <c r="C24" s="41" t="s">
        <v>502</v>
      </c>
      <c r="D24" s="41" t="s">
        <v>504</v>
      </c>
      <c r="E24" s="42" t="s">
        <v>488</v>
      </c>
    </row>
    <row r="25" ht="81.75" customHeight="1">
      <c r="A25" s="40" t="s">
        <v>244</v>
      </c>
      <c r="B25" s="41" t="s">
        <v>507</v>
      </c>
      <c r="C25" s="41" t="s">
        <v>509</v>
      </c>
      <c r="D25" s="41" t="s">
        <v>510</v>
      </c>
      <c r="E25" s="42" t="s">
        <v>484</v>
      </c>
    </row>
    <row r="26" ht="81.75" customHeight="1">
      <c r="A26" s="40" t="s">
        <v>250</v>
      </c>
      <c r="B26" s="41" t="s">
        <v>512</v>
      </c>
      <c r="C26" s="41" t="s">
        <v>513</v>
      </c>
      <c r="D26" s="41" t="s">
        <v>515</v>
      </c>
      <c r="E26" s="42" t="s">
        <v>517</v>
      </c>
    </row>
    <row r="27" ht="81.75" customHeight="1">
      <c r="A27" s="40" t="s">
        <v>256</v>
      </c>
      <c r="B27" s="41" t="s">
        <v>519</v>
      </c>
      <c r="C27" s="41" t="s">
        <v>521</v>
      </c>
      <c r="D27" s="41" t="s">
        <v>522</v>
      </c>
      <c r="E27" s="42" t="s">
        <v>524</v>
      </c>
    </row>
    <row r="28" ht="81.75" customHeight="1">
      <c r="A28" s="40" t="s">
        <v>262</v>
      </c>
      <c r="B28" s="41" t="s">
        <v>526</v>
      </c>
      <c r="C28" s="41" t="s">
        <v>527</v>
      </c>
      <c r="D28" s="41" t="s">
        <v>528</v>
      </c>
      <c r="E28" s="42" t="s">
        <v>529</v>
      </c>
    </row>
    <row r="29" ht="81.75" customHeight="1">
      <c r="A29" s="40" t="s">
        <v>268</v>
      </c>
      <c r="B29" s="41" t="s">
        <v>530</v>
      </c>
      <c r="C29" s="41" t="s">
        <v>531</v>
      </c>
      <c r="D29" s="41" t="s">
        <v>532</v>
      </c>
      <c r="E29" s="42" t="s">
        <v>415</v>
      </c>
    </row>
    <row r="30" ht="81.75" customHeight="1">
      <c r="A30" s="40" t="s">
        <v>274</v>
      </c>
      <c r="B30" s="41" t="s">
        <v>533</v>
      </c>
      <c r="C30" s="41" t="s">
        <v>534</v>
      </c>
      <c r="D30" s="41" t="s">
        <v>535</v>
      </c>
      <c r="E30" s="42" t="s">
        <v>415</v>
      </c>
    </row>
    <row r="31" ht="81.75" customHeight="1">
      <c r="A31" s="40" t="s">
        <v>279</v>
      </c>
      <c r="B31" s="41" t="s">
        <v>536</v>
      </c>
      <c r="C31" s="41" t="s">
        <v>537</v>
      </c>
      <c r="D31" s="41" t="s">
        <v>538</v>
      </c>
      <c r="E31" s="42" t="s">
        <v>539</v>
      </c>
    </row>
    <row r="32" ht="81.75" customHeight="1">
      <c r="A32" s="40" t="s">
        <v>284</v>
      </c>
      <c r="B32" s="41" t="s">
        <v>540</v>
      </c>
      <c r="C32" s="41" t="s">
        <v>541</v>
      </c>
      <c r="D32" s="41" t="s">
        <v>542</v>
      </c>
      <c r="E32" s="42" t="s">
        <v>421</v>
      </c>
    </row>
    <row r="33" ht="81.75" customHeight="1">
      <c r="A33" s="40" t="s">
        <v>289</v>
      </c>
      <c r="B33" s="41" t="s">
        <v>543</v>
      </c>
      <c r="C33" s="41" t="s">
        <v>544</v>
      </c>
      <c r="D33" s="41" t="s">
        <v>545</v>
      </c>
      <c r="E33" s="42" t="s">
        <v>421</v>
      </c>
    </row>
    <row r="34" ht="81.75" customHeight="1">
      <c r="A34" s="40" t="s">
        <v>295</v>
      </c>
      <c r="B34" s="41" t="s">
        <v>546</v>
      </c>
      <c r="C34" s="41" t="s">
        <v>547</v>
      </c>
      <c r="D34" s="41" t="s">
        <v>548</v>
      </c>
      <c r="E34" s="42" t="s">
        <v>549</v>
      </c>
    </row>
    <row r="35" ht="81.75" customHeight="1">
      <c r="A35" s="40" t="s">
        <v>301</v>
      </c>
      <c r="B35" s="41" t="s">
        <v>550</v>
      </c>
      <c r="C35" s="41" t="s">
        <v>551</v>
      </c>
      <c r="D35" s="41" t="s">
        <v>552</v>
      </c>
      <c r="E35" s="42" t="s">
        <v>553</v>
      </c>
    </row>
    <row r="36" ht="81.75" customHeight="1">
      <c r="A36" s="40" t="s">
        <v>306</v>
      </c>
      <c r="B36" s="41" t="s">
        <v>554</v>
      </c>
      <c r="C36" s="41" t="s">
        <v>555</v>
      </c>
      <c r="D36" s="41" t="s">
        <v>556</v>
      </c>
      <c r="E36" s="42" t="s">
        <v>557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